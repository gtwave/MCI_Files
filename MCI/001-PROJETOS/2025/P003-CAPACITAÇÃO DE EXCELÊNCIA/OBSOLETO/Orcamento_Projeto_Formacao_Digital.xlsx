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tor Brasileiro\Downloads\"/>
    </mc:Choice>
  </mc:AlternateContent>
  <xr:revisionPtr revIDLastSave="0" documentId="13_ncr:1_{7B021FE5-3F1E-426A-9A8A-99EBEBB6E8F8}" xr6:coauthVersionLast="47" xr6:coauthVersionMax="47" xr10:uidLastSave="{00000000-0000-0000-0000-000000000000}"/>
  <bookViews>
    <workbookView xWindow="28680" yWindow="345" windowWidth="25440" windowHeight="1527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8" i="1" l="1"/>
  <c r="G17" i="1"/>
  <c r="G16" i="1"/>
  <c r="G14" i="1"/>
  <c r="G12" i="1"/>
  <c r="G11" i="1"/>
  <c r="G9" i="1"/>
  <c r="G4" i="1"/>
  <c r="G3" i="1"/>
  <c r="G2" i="1"/>
  <c r="D14" i="1"/>
</calcChain>
</file>

<file path=xl/sharedStrings.xml><?xml version="1.0" encoding="utf-8"?>
<sst xmlns="http://schemas.openxmlformats.org/spreadsheetml/2006/main" count="63" uniqueCount="32">
  <si>
    <t>Categoria</t>
  </si>
  <si>
    <t>Descrição</t>
  </si>
  <si>
    <t>Valor (R$)</t>
  </si>
  <si>
    <t>Aluguel de espaços (2 polos)</t>
  </si>
  <si>
    <t>Contas e internet</t>
  </si>
  <si>
    <t>Computadores (80 unidades)</t>
  </si>
  <si>
    <t>Mobiliário e equipamentos diversos</t>
  </si>
  <si>
    <t>Manutenção de equipamentos e TI</t>
  </si>
  <si>
    <t>Equipe técnica (12 meses)</t>
  </si>
  <si>
    <t>Softwares e licenças</t>
  </si>
  <si>
    <t>Marketing e divulgação</t>
  </si>
  <si>
    <t>Materiais didáticos e kits</t>
  </si>
  <si>
    <t>Eventos, formaturas e certificados</t>
  </si>
  <si>
    <t>Auditoria, jurídico e contabilidade</t>
  </si>
  <si>
    <t>Reserva técnica e emergencial</t>
  </si>
  <si>
    <t>TOTAL GERAL</t>
  </si>
  <si>
    <t>Saldo disponível para ampliação</t>
  </si>
  <si>
    <t>2 polos x R$ 15.000 x 12 meses</t>
  </si>
  <si>
    <t>Água, luz, limpeza, internet</t>
  </si>
  <si>
    <t>R$ 5.000 por computador x 80 unidades</t>
  </si>
  <si>
    <t>Mesas, cadeiras, projetores, etc.</t>
  </si>
  <si>
    <t>Peças, técnicos, suporte técnico</t>
  </si>
  <si>
    <t>Salários e encargos da equipe técnica</t>
  </si>
  <si>
    <t>Licenças Adobe, Office, antivírus, etc.</t>
  </si>
  <si>
    <t>Campanhas, redes sociais, panfletagem</t>
  </si>
  <si>
    <t>Apostilas, cadernos, mochilas para alunos</t>
  </si>
  <si>
    <t>Eventos de formatura e premiações</t>
  </si>
  <si>
    <t>Contabilidade, consultoria jurídica, auditoria</t>
  </si>
  <si>
    <t>Fundo para imprevistos e ajustes</t>
  </si>
  <si>
    <t>Soma de todos os custos anteriores</t>
  </si>
  <si>
    <t>Valor restante para outras despesas</t>
  </si>
  <si>
    <t>JUROS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</si>
</sst>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1" fillId="2" borderId="1" xfId="0" applyNumberFormat="1" applyFont="1" applyFill="1" applyBorder="1"/>
    <xf numFmtId="164" fontId="0" fillId="3" borderId="1" xfId="0" applyNumberFormat="1" applyFill="1" applyBorder="1"/>
    <xf numFmtId="44" fontId="0" fillId="3" borderId="1" xfId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defaultRowHeight="15" x14ac:dyDescent="0.25"/>
  <cols>
    <col min="1" max="1" width="33.5703125" bestFit="1" customWidth="1"/>
    <col min="2" max="2" width="41.140625" bestFit="1" customWidth="1"/>
    <col min="3" max="4" width="15.85546875" bestFit="1" customWidth="1"/>
    <col min="5" max="5" width="33.5703125" bestFit="1" customWidth="1"/>
    <col min="6" max="6" width="41.140625" bestFit="1" customWidth="1"/>
    <col min="7" max="7" width="15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spans="1:7" x14ac:dyDescent="0.25">
      <c r="A2" s="3" t="s">
        <v>3</v>
      </c>
      <c r="B2" s="3" t="s">
        <v>17</v>
      </c>
      <c r="C2" s="4">
        <v>360000</v>
      </c>
      <c r="E2" s="3" t="s">
        <v>3</v>
      </c>
      <c r="F2" s="3" t="s">
        <v>17</v>
      </c>
      <c r="G2" s="4">
        <f>10000*12</f>
        <v>120000</v>
      </c>
    </row>
    <row r="3" spans="1:7" x14ac:dyDescent="0.25">
      <c r="A3" s="3" t="s">
        <v>4</v>
      </c>
      <c r="B3" s="3" t="s">
        <v>18</v>
      </c>
      <c r="C3" s="4">
        <v>72000</v>
      </c>
      <c r="E3" s="3" t="s">
        <v>4</v>
      </c>
      <c r="F3" s="3" t="s">
        <v>18</v>
      </c>
      <c r="G3" s="4">
        <f>300*12</f>
        <v>3600</v>
      </c>
    </row>
    <row r="4" spans="1:7" x14ac:dyDescent="0.25">
      <c r="A4" s="3" t="s">
        <v>5</v>
      </c>
      <c r="B4" s="3" t="s">
        <v>19</v>
      </c>
      <c r="C4" s="4">
        <v>400000</v>
      </c>
      <c r="E4" s="3" t="s">
        <v>5</v>
      </c>
      <c r="F4" s="3" t="s">
        <v>19</v>
      </c>
      <c r="G4" s="4">
        <f>3000*80</f>
        <v>240000</v>
      </c>
    </row>
    <row r="5" spans="1:7" x14ac:dyDescent="0.25">
      <c r="A5" s="3" t="s">
        <v>6</v>
      </c>
      <c r="B5" s="3" t="s">
        <v>20</v>
      </c>
      <c r="C5" s="4">
        <v>100000</v>
      </c>
      <c r="E5" s="3" t="s">
        <v>6</v>
      </c>
      <c r="F5" s="3" t="s">
        <v>20</v>
      </c>
      <c r="G5" s="4">
        <v>50000</v>
      </c>
    </row>
    <row r="6" spans="1:7" x14ac:dyDescent="0.25">
      <c r="A6" s="3" t="s">
        <v>7</v>
      </c>
      <c r="B6" s="3" t="s">
        <v>21</v>
      </c>
      <c r="C6" s="4">
        <v>100000</v>
      </c>
      <c r="E6" s="3" t="s">
        <v>7</v>
      </c>
      <c r="F6" s="3" t="s">
        <v>21</v>
      </c>
      <c r="G6" s="4">
        <v>12000</v>
      </c>
    </row>
    <row r="7" spans="1:7" x14ac:dyDescent="0.25">
      <c r="A7" s="3" t="s">
        <v>8</v>
      </c>
      <c r="B7" s="3" t="s">
        <v>22</v>
      </c>
      <c r="C7" s="4">
        <v>1560000</v>
      </c>
      <c r="E7" s="3" t="s">
        <v>8</v>
      </c>
      <c r="F7" s="3" t="s">
        <v>22</v>
      </c>
      <c r="G7" s="4">
        <v>300000</v>
      </c>
    </row>
    <row r="8" spans="1:7" x14ac:dyDescent="0.25">
      <c r="A8" s="3" t="s">
        <v>9</v>
      </c>
      <c r="B8" s="3" t="s">
        <v>23</v>
      </c>
      <c r="C8" s="4">
        <v>150000</v>
      </c>
      <c r="E8" s="3" t="s">
        <v>9</v>
      </c>
      <c r="F8" s="3" t="s">
        <v>23</v>
      </c>
      <c r="G8" s="4">
        <v>8000</v>
      </c>
    </row>
    <row r="9" spans="1:7" x14ac:dyDescent="0.25">
      <c r="A9" s="3" t="s">
        <v>10</v>
      </c>
      <c r="B9" s="3" t="s">
        <v>24</v>
      </c>
      <c r="C9" s="4">
        <v>150000</v>
      </c>
      <c r="E9" s="3" t="s">
        <v>10</v>
      </c>
      <c r="F9" s="3" t="s">
        <v>24</v>
      </c>
      <c r="G9" s="4">
        <f>3000*12</f>
        <v>36000</v>
      </c>
    </row>
    <row r="10" spans="1:7" x14ac:dyDescent="0.25">
      <c r="A10" s="3" t="s">
        <v>11</v>
      </c>
      <c r="B10" s="3" t="s">
        <v>25</v>
      </c>
      <c r="C10" s="4">
        <v>100000</v>
      </c>
      <c r="E10" s="3" t="s">
        <v>11</v>
      </c>
      <c r="F10" s="3" t="s">
        <v>25</v>
      </c>
      <c r="G10" s="4">
        <v>16000</v>
      </c>
    </row>
    <row r="11" spans="1:7" x14ac:dyDescent="0.25">
      <c r="A11" s="3" t="s">
        <v>12</v>
      </c>
      <c r="B11" s="3" t="s">
        <v>26</v>
      </c>
      <c r="C11" s="4">
        <v>60000</v>
      </c>
      <c r="E11" s="3" t="s">
        <v>12</v>
      </c>
      <c r="F11" s="3" t="s">
        <v>26</v>
      </c>
      <c r="G11" s="4">
        <f>15000*4</f>
        <v>60000</v>
      </c>
    </row>
    <row r="12" spans="1:7" x14ac:dyDescent="0.25">
      <c r="A12" s="3" t="s">
        <v>13</v>
      </c>
      <c r="B12" s="3" t="s">
        <v>27</v>
      </c>
      <c r="C12" s="4">
        <v>100000</v>
      </c>
      <c r="E12" s="3" t="s">
        <v>13</v>
      </c>
      <c r="F12" s="3" t="s">
        <v>27</v>
      </c>
      <c r="G12" s="4">
        <f>2000*12</f>
        <v>24000</v>
      </c>
    </row>
    <row r="13" spans="1:7" x14ac:dyDescent="0.25">
      <c r="A13" s="3" t="s">
        <v>14</v>
      </c>
      <c r="B13" s="3" t="s">
        <v>28</v>
      </c>
      <c r="C13" s="4">
        <v>400000</v>
      </c>
      <c r="E13" s="3" t="s">
        <v>14</v>
      </c>
      <c r="F13" s="3" t="s">
        <v>28</v>
      </c>
      <c r="G13" s="4"/>
    </row>
    <row r="14" spans="1:7" x14ac:dyDescent="0.25">
      <c r="A14" s="3" t="s">
        <v>15</v>
      </c>
      <c r="B14" s="3" t="s">
        <v>29</v>
      </c>
      <c r="C14" s="5">
        <v>3552000</v>
      </c>
      <c r="D14" s="2">
        <f>C14/2</f>
        <v>1776000</v>
      </c>
      <c r="E14" s="3" t="s">
        <v>15</v>
      </c>
      <c r="F14" s="3" t="s">
        <v>29</v>
      </c>
      <c r="G14" s="5">
        <f>SUM(G2:G12)</f>
        <v>869600</v>
      </c>
    </row>
    <row r="15" spans="1:7" x14ac:dyDescent="0.25">
      <c r="A15" s="3" t="s">
        <v>16</v>
      </c>
      <c r="B15" s="3" t="s">
        <v>30</v>
      </c>
      <c r="C15" s="6">
        <v>448000</v>
      </c>
      <c r="E15" s="3" t="s">
        <v>16</v>
      </c>
      <c r="F15" s="3" t="s">
        <v>30</v>
      </c>
      <c r="G15" s="6">
        <v>448000</v>
      </c>
    </row>
    <row r="16" spans="1:7" x14ac:dyDescent="0.25">
      <c r="C16" s="2"/>
      <c r="G16" s="6">
        <f>D14-G14</f>
        <v>906400</v>
      </c>
    </row>
    <row r="17" spans="6:7" x14ac:dyDescent="0.25">
      <c r="G17" s="2">
        <f>G15+G16+G19</f>
        <v>1534400</v>
      </c>
    </row>
    <row r="18" spans="6:7" x14ac:dyDescent="0.25">
      <c r="G18" s="2">
        <f>G17/5/12</f>
        <v>25573.333333333332</v>
      </c>
    </row>
    <row r="19" spans="6:7" x14ac:dyDescent="0.25">
      <c r="F19" t="s">
        <v>31</v>
      </c>
      <c r="G19" s="7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Vitor Brasileiro</cp:lastModifiedBy>
  <dcterms:created xsi:type="dcterms:W3CDTF">2025-07-28T23:08:47Z</dcterms:created>
  <dcterms:modified xsi:type="dcterms:W3CDTF">2025-07-28T23:45:46Z</dcterms:modified>
</cp:coreProperties>
</file>