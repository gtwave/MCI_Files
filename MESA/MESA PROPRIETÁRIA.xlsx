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3.xml" ContentType="application/vnd.openxmlformats-officedocument.themeOverrid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4.xml" ContentType="application/vnd.openxmlformats-officedocument.themeOverrid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5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tor Brasileiro\Desktop\"/>
    </mc:Choice>
  </mc:AlternateContent>
  <xr:revisionPtr revIDLastSave="0" documentId="13_ncr:1_{6B22B7EE-6B62-4858-AFD7-9DEA697B97F3}" xr6:coauthVersionLast="47" xr6:coauthVersionMax="47" xr10:uidLastSave="{00000000-0000-0000-0000-000000000000}"/>
  <bookViews>
    <workbookView xWindow="-25320" yWindow="-2685" windowWidth="25440" windowHeight="15270" xr2:uid="{616CA727-9A22-4CFE-AFC5-81B68968BEFA}"/>
  </bookViews>
  <sheets>
    <sheet name="EXAMES" sheetId="1" r:id="rId1"/>
    <sheet name="PLATAFORMAS" sheetId="7" r:id="rId2"/>
    <sheet name="CORRETAGEM" sheetId="2" r:id="rId3"/>
    <sheet name="TRADERS FOCO" sheetId="3" r:id="rId4"/>
    <sheet name="PROJEÇÕES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6" l="1"/>
  <c r="E29" i="6"/>
  <c r="F29" i="6"/>
  <c r="D30" i="6"/>
  <c r="E30" i="6"/>
  <c r="F30" i="6"/>
  <c r="F32" i="6" s="1"/>
  <c r="D31" i="6"/>
  <c r="D32" i="6" s="1"/>
  <c r="E31" i="6"/>
  <c r="E32" i="6" s="1"/>
  <c r="F31" i="6"/>
  <c r="C31" i="6"/>
  <c r="C30" i="6"/>
  <c r="C29" i="6"/>
  <c r="C25" i="6"/>
  <c r="D25" i="6"/>
  <c r="E25" i="6"/>
  <c r="D21" i="6"/>
  <c r="C16" i="6"/>
  <c r="D16" i="6"/>
  <c r="E16" i="6"/>
  <c r="E12" i="6"/>
  <c r="D12" i="6"/>
  <c r="C12" i="6"/>
  <c r="B12" i="6"/>
  <c r="F53" i="3"/>
  <c r="G53" i="3"/>
  <c r="G56" i="3" s="1"/>
  <c r="F54" i="3"/>
  <c r="G54" i="3"/>
  <c r="F55" i="3"/>
  <c r="G55" i="3"/>
  <c r="F56" i="3"/>
  <c r="E55" i="3"/>
  <c r="E54" i="3"/>
  <c r="E53" i="3"/>
  <c r="B37" i="3"/>
  <c r="B38" i="3" s="1"/>
  <c r="B20" i="3"/>
  <c r="B21" i="3" s="1"/>
  <c r="F53" i="2"/>
  <c r="G53" i="2"/>
  <c r="F54" i="2"/>
  <c r="G54" i="2"/>
  <c r="F55" i="2"/>
  <c r="G55" i="2"/>
  <c r="E55" i="2"/>
  <c r="E54" i="2"/>
  <c r="E53" i="2"/>
  <c r="E38" i="2"/>
  <c r="G38" i="2" s="1"/>
  <c r="F38" i="2"/>
  <c r="E39" i="2"/>
  <c r="F39" i="2"/>
  <c r="G39" i="2"/>
  <c r="E40" i="2"/>
  <c r="G40" i="2" s="1"/>
  <c r="F40" i="2"/>
  <c r="E41" i="2"/>
  <c r="G41" i="2" s="1"/>
  <c r="F41" i="2"/>
  <c r="E42" i="2"/>
  <c r="F42" i="2"/>
  <c r="G42" i="2"/>
  <c r="E43" i="2"/>
  <c r="G43" i="2" s="1"/>
  <c r="F43" i="2"/>
  <c r="E44" i="2"/>
  <c r="G44" i="2" s="1"/>
  <c r="F44" i="2"/>
  <c r="E45" i="2"/>
  <c r="F45" i="2"/>
  <c r="G45" i="2"/>
  <c r="E46" i="2"/>
  <c r="F46" i="2"/>
  <c r="G46" i="2" s="1"/>
  <c r="E47" i="2"/>
  <c r="F47" i="2"/>
  <c r="G47" i="2"/>
  <c r="E48" i="2"/>
  <c r="G48" i="2" s="1"/>
  <c r="F48" i="2"/>
  <c r="F37" i="2"/>
  <c r="E37" i="2"/>
  <c r="G37" i="2" s="1"/>
  <c r="E21" i="2"/>
  <c r="G21" i="2" s="1"/>
  <c r="F21" i="2"/>
  <c r="E22" i="2"/>
  <c r="F22" i="2"/>
  <c r="G22" i="2"/>
  <c r="E23" i="2"/>
  <c r="G23" i="2" s="1"/>
  <c r="F23" i="2"/>
  <c r="E24" i="2"/>
  <c r="G24" i="2" s="1"/>
  <c r="F24" i="2"/>
  <c r="E25" i="2"/>
  <c r="F25" i="2"/>
  <c r="G25" i="2"/>
  <c r="E26" i="2"/>
  <c r="G26" i="2" s="1"/>
  <c r="F26" i="2"/>
  <c r="E27" i="2"/>
  <c r="G27" i="2" s="1"/>
  <c r="F27" i="2"/>
  <c r="E28" i="2"/>
  <c r="F28" i="2"/>
  <c r="G28" i="2"/>
  <c r="E29" i="2"/>
  <c r="G29" i="2" s="1"/>
  <c r="F29" i="2"/>
  <c r="E30" i="2"/>
  <c r="F30" i="2"/>
  <c r="G30" i="2"/>
  <c r="E31" i="2"/>
  <c r="G31" i="2" s="1"/>
  <c r="F31" i="2"/>
  <c r="E20" i="2"/>
  <c r="F20" i="2"/>
  <c r="G20" i="2"/>
  <c r="B38" i="2"/>
  <c r="B21" i="2"/>
  <c r="F53" i="7"/>
  <c r="G53" i="7"/>
  <c r="F54" i="7"/>
  <c r="G54" i="7"/>
  <c r="F55" i="7"/>
  <c r="G55" i="7"/>
  <c r="E55" i="7"/>
  <c r="E54" i="7"/>
  <c r="E53" i="7"/>
  <c r="E38" i="7"/>
  <c r="G38" i="7" s="1"/>
  <c r="F38" i="7"/>
  <c r="E39" i="7"/>
  <c r="G39" i="7" s="1"/>
  <c r="F39" i="7"/>
  <c r="E40" i="7"/>
  <c r="G40" i="7" s="1"/>
  <c r="F40" i="7"/>
  <c r="E41" i="7"/>
  <c r="F41" i="7"/>
  <c r="E42" i="7"/>
  <c r="G42" i="7" s="1"/>
  <c r="F42" i="7"/>
  <c r="E43" i="7"/>
  <c r="G43" i="7" s="1"/>
  <c r="F43" i="7"/>
  <c r="E44" i="7"/>
  <c r="F44" i="7"/>
  <c r="G44" i="7"/>
  <c r="E45" i="7"/>
  <c r="G45" i="7" s="1"/>
  <c r="F45" i="7"/>
  <c r="E46" i="7"/>
  <c r="G46" i="7" s="1"/>
  <c r="F46" i="7"/>
  <c r="E47" i="7"/>
  <c r="F47" i="7"/>
  <c r="G47" i="7"/>
  <c r="E48" i="7"/>
  <c r="G48" i="7" s="1"/>
  <c r="F48" i="7"/>
  <c r="G37" i="7"/>
  <c r="F37" i="7"/>
  <c r="E37" i="7"/>
  <c r="E21" i="7"/>
  <c r="G21" i="7" s="1"/>
  <c r="F21" i="7"/>
  <c r="E22" i="7"/>
  <c r="F22" i="7"/>
  <c r="G22" i="7"/>
  <c r="E23" i="7"/>
  <c r="G23" i="7" s="1"/>
  <c r="F23" i="7"/>
  <c r="E24" i="7"/>
  <c r="G24" i="7" s="1"/>
  <c r="F24" i="7"/>
  <c r="E25" i="7"/>
  <c r="F25" i="7"/>
  <c r="G25" i="7"/>
  <c r="E26" i="7"/>
  <c r="G26" i="7" s="1"/>
  <c r="F26" i="7"/>
  <c r="E27" i="7"/>
  <c r="G27" i="7" s="1"/>
  <c r="F27" i="7"/>
  <c r="E28" i="7"/>
  <c r="F28" i="7"/>
  <c r="G28" i="7"/>
  <c r="E29" i="7"/>
  <c r="F29" i="7"/>
  <c r="G29" i="7"/>
  <c r="E30" i="7"/>
  <c r="G30" i="7" s="1"/>
  <c r="F30" i="7"/>
  <c r="E31" i="7"/>
  <c r="G31" i="7" s="1"/>
  <c r="F31" i="7"/>
  <c r="G20" i="7"/>
  <c r="F20" i="7"/>
  <c r="E20" i="7"/>
  <c r="F53" i="1"/>
  <c r="G53" i="1"/>
  <c r="G56" i="1" s="1"/>
  <c r="H53" i="1"/>
  <c r="F54" i="1"/>
  <c r="G54" i="1"/>
  <c r="H54" i="1"/>
  <c r="H56" i="1" s="1"/>
  <c r="F55" i="1"/>
  <c r="G55" i="1"/>
  <c r="H55" i="1"/>
  <c r="F56" i="1"/>
  <c r="E55" i="1"/>
  <c r="E54" i="1"/>
  <c r="E53" i="1"/>
  <c r="B38" i="1"/>
  <c r="F38" i="1" s="1"/>
  <c r="E38" i="1"/>
  <c r="G38" i="1" s="1"/>
  <c r="E39" i="1"/>
  <c r="G39" i="1" s="1"/>
  <c r="F39" i="1"/>
  <c r="E40" i="1"/>
  <c r="G40" i="1" s="1"/>
  <c r="F40" i="1"/>
  <c r="E41" i="1"/>
  <c r="F41" i="1"/>
  <c r="E42" i="1"/>
  <c r="G42" i="1" s="1"/>
  <c r="F42" i="1"/>
  <c r="E43" i="1"/>
  <c r="F43" i="1"/>
  <c r="E44" i="1"/>
  <c r="G44" i="1" s="1"/>
  <c r="F44" i="1"/>
  <c r="E45" i="1"/>
  <c r="G45" i="1" s="1"/>
  <c r="H45" i="1" s="1"/>
  <c r="F45" i="1"/>
  <c r="E46" i="1"/>
  <c r="G46" i="1" s="1"/>
  <c r="F46" i="1"/>
  <c r="E47" i="1"/>
  <c r="G47" i="1" s="1"/>
  <c r="F47" i="1"/>
  <c r="E48" i="1"/>
  <c r="G48" i="1" s="1"/>
  <c r="F48" i="1"/>
  <c r="F37" i="1"/>
  <c r="E37" i="1"/>
  <c r="F32" i="1"/>
  <c r="G32" i="1"/>
  <c r="H32" i="1"/>
  <c r="E21" i="1"/>
  <c r="G21" i="1" s="1"/>
  <c r="F21" i="1"/>
  <c r="E22" i="1"/>
  <c r="F22" i="1"/>
  <c r="G22" i="1"/>
  <c r="H22" i="1"/>
  <c r="E23" i="1"/>
  <c r="G23" i="1" s="1"/>
  <c r="F23" i="1"/>
  <c r="E24" i="1"/>
  <c r="F24" i="1"/>
  <c r="G24" i="1"/>
  <c r="H24" i="1"/>
  <c r="E25" i="1"/>
  <c r="G25" i="1" s="1"/>
  <c r="F25" i="1"/>
  <c r="E26" i="1"/>
  <c r="F26" i="1"/>
  <c r="G26" i="1"/>
  <c r="H26" i="1"/>
  <c r="E27" i="1"/>
  <c r="G27" i="1" s="1"/>
  <c r="F27" i="1"/>
  <c r="E28" i="1"/>
  <c r="F28" i="1"/>
  <c r="G28" i="1"/>
  <c r="H28" i="1"/>
  <c r="E29" i="1"/>
  <c r="G29" i="1" s="1"/>
  <c r="F29" i="1"/>
  <c r="E30" i="1"/>
  <c r="F30" i="1"/>
  <c r="G30" i="1"/>
  <c r="H30" i="1"/>
  <c r="E31" i="1"/>
  <c r="G31" i="1" s="1"/>
  <c r="F31" i="1"/>
  <c r="G20" i="1"/>
  <c r="F20" i="1"/>
  <c r="E20" i="1"/>
  <c r="B21" i="1"/>
  <c r="E6" i="6"/>
  <c r="C6" i="6"/>
  <c r="B6" i="6"/>
  <c r="E5" i="6"/>
  <c r="C5" i="6"/>
  <c r="B5" i="6"/>
  <c r="E4" i="6"/>
  <c r="B4" i="6"/>
  <c r="C3" i="6"/>
  <c r="D3" i="6"/>
  <c r="D7" i="6" s="1"/>
  <c r="E3" i="6"/>
  <c r="B3" i="6"/>
  <c r="G4" i="1"/>
  <c r="H4" i="1" s="1"/>
  <c r="G5" i="1"/>
  <c r="G6" i="1"/>
  <c r="H6" i="1" s="1"/>
  <c r="G7" i="1"/>
  <c r="G8" i="1"/>
  <c r="G9" i="1"/>
  <c r="G10" i="1"/>
  <c r="H10" i="1" s="1"/>
  <c r="G11" i="1"/>
  <c r="H11" i="1" s="1"/>
  <c r="G12" i="1"/>
  <c r="G13" i="1"/>
  <c r="G14" i="1"/>
  <c r="G3" i="1"/>
  <c r="H3" i="1" s="1"/>
  <c r="H5" i="1"/>
  <c r="H9" i="1"/>
  <c r="H13" i="1"/>
  <c r="H14" i="1"/>
  <c r="H7" i="1"/>
  <c r="H8" i="1"/>
  <c r="H12" i="1"/>
  <c r="B42" i="3" l="1"/>
  <c r="B41" i="3"/>
  <c r="B25" i="3"/>
  <c r="B24" i="3"/>
  <c r="G41" i="7"/>
  <c r="F49" i="1"/>
  <c r="H47" i="1"/>
  <c r="H39" i="1"/>
  <c r="G43" i="1"/>
  <c r="H43" i="1" s="1"/>
  <c r="G41" i="1"/>
  <c r="H41" i="1" s="1"/>
  <c r="H48" i="1"/>
  <c r="H46" i="1"/>
  <c r="H44" i="1"/>
  <c r="H42" i="1"/>
  <c r="H40" i="1"/>
  <c r="H38" i="1"/>
  <c r="G37" i="1"/>
  <c r="H31" i="1"/>
  <c r="H29" i="1"/>
  <c r="H27" i="1"/>
  <c r="H25" i="1"/>
  <c r="H23" i="1"/>
  <c r="H21" i="1"/>
  <c r="H20" i="1"/>
  <c r="G15" i="1"/>
  <c r="H37" i="1" l="1"/>
  <c r="H49" i="1" s="1"/>
  <c r="G49" i="1"/>
  <c r="J15" i="1" l="1"/>
  <c r="F4" i="2"/>
  <c r="F5" i="2"/>
  <c r="F6" i="2"/>
  <c r="F7" i="2"/>
  <c r="F8" i="2"/>
  <c r="F9" i="2"/>
  <c r="F10" i="2"/>
  <c r="F11" i="2"/>
  <c r="F12" i="2"/>
  <c r="F13" i="2"/>
  <c r="F14" i="2"/>
  <c r="E4" i="2"/>
  <c r="E5" i="2"/>
  <c r="E6" i="2"/>
  <c r="E7" i="2"/>
  <c r="E8" i="2"/>
  <c r="E9" i="2"/>
  <c r="E10" i="2"/>
  <c r="E11" i="2"/>
  <c r="E12" i="2"/>
  <c r="E13" i="2"/>
  <c r="E14" i="2"/>
  <c r="F4" i="7"/>
  <c r="F5" i="7"/>
  <c r="F6" i="7"/>
  <c r="F7" i="7"/>
  <c r="F8" i="7"/>
  <c r="F9" i="7"/>
  <c r="F10" i="7"/>
  <c r="F11" i="7"/>
  <c r="F12" i="7"/>
  <c r="F13" i="7"/>
  <c r="F14" i="7"/>
  <c r="F3" i="7"/>
  <c r="E4" i="7"/>
  <c r="E5" i="7"/>
  <c r="E6" i="7"/>
  <c r="E7" i="7"/>
  <c r="E8" i="7"/>
  <c r="E9" i="7"/>
  <c r="E10" i="7"/>
  <c r="E11" i="7"/>
  <c r="E12" i="7"/>
  <c r="E13" i="7"/>
  <c r="E14" i="7"/>
  <c r="E3" i="7"/>
  <c r="G4" i="2" l="1"/>
  <c r="G12" i="2"/>
  <c r="G13" i="2"/>
  <c r="G5" i="2"/>
  <c r="G9" i="2"/>
  <c r="G10" i="2"/>
  <c r="G11" i="2"/>
  <c r="G8" i="2"/>
  <c r="G7" i="2"/>
  <c r="G14" i="2"/>
  <c r="G6" i="2"/>
  <c r="G3" i="7"/>
  <c r="G12" i="7"/>
  <c r="G7" i="7"/>
  <c r="G8" i="7"/>
  <c r="G4" i="7"/>
  <c r="G13" i="7"/>
  <c r="G5" i="7"/>
  <c r="G11" i="7"/>
  <c r="G9" i="7"/>
  <c r="E15" i="7"/>
  <c r="E32" i="7"/>
  <c r="G10" i="7"/>
  <c r="E49" i="7"/>
  <c r="G6" i="7"/>
  <c r="G14" i="7"/>
  <c r="E48" i="3"/>
  <c r="E47" i="3"/>
  <c r="E46" i="3"/>
  <c r="E45" i="3"/>
  <c r="E44" i="3"/>
  <c r="E43" i="3"/>
  <c r="E42" i="3"/>
  <c r="E41" i="3"/>
  <c r="E40" i="3"/>
  <c r="E39" i="3"/>
  <c r="E38" i="3"/>
  <c r="E37" i="3"/>
  <c r="E31" i="3"/>
  <c r="E30" i="3"/>
  <c r="E29" i="3"/>
  <c r="E28" i="3"/>
  <c r="E27" i="3"/>
  <c r="E26" i="3"/>
  <c r="E25" i="3"/>
  <c r="E24" i="3"/>
  <c r="E23" i="3"/>
  <c r="E22" i="3"/>
  <c r="E21" i="3"/>
  <c r="E20" i="3"/>
  <c r="E14" i="3"/>
  <c r="E13" i="3"/>
  <c r="E12" i="3"/>
  <c r="E11" i="3"/>
  <c r="E10" i="3"/>
  <c r="E9" i="3"/>
  <c r="E8" i="3"/>
  <c r="E7" i="3"/>
  <c r="E6" i="3"/>
  <c r="E5" i="3"/>
  <c r="E4" i="3"/>
  <c r="E3" i="3"/>
  <c r="B3" i="3"/>
  <c r="B4" i="2"/>
  <c r="F3" i="2"/>
  <c r="E3" i="2"/>
  <c r="J49" i="1"/>
  <c r="J32" i="1"/>
  <c r="E14" i="1"/>
  <c r="E13" i="1"/>
  <c r="E12" i="1"/>
  <c r="E11" i="1"/>
  <c r="E10" i="1"/>
  <c r="E9" i="1"/>
  <c r="E8" i="1"/>
  <c r="E7" i="1"/>
  <c r="E6" i="1"/>
  <c r="E5" i="1"/>
  <c r="E4" i="1"/>
  <c r="B4" i="1"/>
  <c r="E3" i="1"/>
  <c r="B22" i="6" l="1"/>
  <c r="B13" i="6"/>
  <c r="F10" i="1"/>
  <c r="F3" i="1"/>
  <c r="G3" i="2"/>
  <c r="G32" i="7"/>
  <c r="G15" i="7"/>
  <c r="F49" i="7"/>
  <c r="G49" i="7"/>
  <c r="F32" i="7"/>
  <c r="F15" i="7"/>
  <c r="F40" i="3"/>
  <c r="G40" i="3" s="1"/>
  <c r="E32" i="3"/>
  <c r="E49" i="3"/>
  <c r="E15" i="3"/>
  <c r="F44" i="3"/>
  <c r="G44" i="3" s="1"/>
  <c r="B4" i="3"/>
  <c r="F38" i="3"/>
  <c r="G38" i="3" s="1"/>
  <c r="E32" i="2"/>
  <c r="F32" i="2"/>
  <c r="E49" i="2"/>
  <c r="F49" i="2"/>
  <c r="E15" i="2"/>
  <c r="F15" i="2"/>
  <c r="E49" i="1"/>
  <c r="E32" i="1"/>
  <c r="F13" i="1"/>
  <c r="F12" i="1"/>
  <c r="F4" i="1"/>
  <c r="F9" i="1"/>
  <c r="F5" i="1"/>
  <c r="F8" i="1"/>
  <c r="E15" i="1"/>
  <c r="F6" i="1"/>
  <c r="F14" i="1"/>
  <c r="F7" i="1"/>
  <c r="F11" i="1"/>
  <c r="B24" i="6" l="1"/>
  <c r="B15" i="6"/>
  <c r="E56" i="7"/>
  <c r="E22" i="6"/>
  <c r="C22" i="6"/>
  <c r="E13" i="6"/>
  <c r="C13" i="6"/>
  <c r="E56" i="3"/>
  <c r="C14" i="6"/>
  <c r="C23" i="6"/>
  <c r="B14" i="6"/>
  <c r="B23" i="6"/>
  <c r="C4" i="6"/>
  <c r="B21" i="6"/>
  <c r="F43" i="3"/>
  <c r="G43" i="3" s="1"/>
  <c r="F41" i="3"/>
  <c r="G41" i="3" s="1"/>
  <c r="B8" i="3"/>
  <c r="B7" i="3"/>
  <c r="F48" i="3"/>
  <c r="G48" i="3" s="1"/>
  <c r="F45" i="3"/>
  <c r="G45" i="3" s="1"/>
  <c r="F46" i="3"/>
  <c r="G46" i="3" s="1"/>
  <c r="F47" i="3"/>
  <c r="G47" i="3" s="1"/>
  <c r="F39" i="3"/>
  <c r="G39" i="3" s="1"/>
  <c r="F42" i="3"/>
  <c r="G42" i="3" s="1"/>
  <c r="F37" i="3"/>
  <c r="G37" i="3" s="1"/>
  <c r="G32" i="2"/>
  <c r="F15" i="1"/>
  <c r="G49" i="3" l="1"/>
  <c r="B25" i="6"/>
  <c r="G56" i="7"/>
  <c r="F56" i="7"/>
  <c r="B16" i="6"/>
  <c r="F56" i="2"/>
  <c r="B7" i="6"/>
  <c r="E56" i="2"/>
  <c r="E14" i="6"/>
  <c r="C21" i="6"/>
  <c r="E56" i="1"/>
  <c r="F49" i="3"/>
  <c r="F4" i="3"/>
  <c r="G4" i="3" s="1"/>
  <c r="F13" i="3"/>
  <c r="G13" i="3" s="1"/>
  <c r="F9" i="3"/>
  <c r="G9" i="3" s="1"/>
  <c r="F14" i="3"/>
  <c r="G14" i="3" s="1"/>
  <c r="F7" i="3"/>
  <c r="G7" i="3" s="1"/>
  <c r="F5" i="3"/>
  <c r="G5" i="3" s="1"/>
  <c r="F6" i="3"/>
  <c r="G6" i="3" s="1"/>
  <c r="F10" i="3"/>
  <c r="G10" i="3" s="1"/>
  <c r="F11" i="3"/>
  <c r="G11" i="3" s="1"/>
  <c r="F8" i="3"/>
  <c r="G8" i="3" s="1"/>
  <c r="F3" i="3"/>
  <c r="G3" i="3" s="1"/>
  <c r="F12" i="3"/>
  <c r="G12" i="3" s="1"/>
  <c r="F28" i="3"/>
  <c r="G28" i="3" s="1"/>
  <c r="F23" i="3"/>
  <c r="G23" i="3" s="1"/>
  <c r="F20" i="3"/>
  <c r="G20" i="3" s="1"/>
  <c r="F30" i="3"/>
  <c r="G30" i="3" s="1"/>
  <c r="F26" i="3"/>
  <c r="G26" i="3" s="1"/>
  <c r="F21" i="3"/>
  <c r="G21" i="3" s="1"/>
  <c r="F27" i="3"/>
  <c r="G27" i="3" s="1"/>
  <c r="F31" i="3"/>
  <c r="G31" i="3" s="1"/>
  <c r="F25" i="3"/>
  <c r="G25" i="3" s="1"/>
  <c r="F29" i="3"/>
  <c r="G29" i="3" s="1"/>
  <c r="F24" i="3"/>
  <c r="G24" i="3" s="1"/>
  <c r="F22" i="3"/>
  <c r="G22" i="3" s="1"/>
  <c r="G15" i="2"/>
  <c r="G49" i="2"/>
  <c r="H15" i="1"/>
  <c r="C24" i="6" l="1"/>
  <c r="E24" i="6"/>
  <c r="C32" i="6"/>
  <c r="E23" i="6"/>
  <c r="G56" i="2"/>
  <c r="E21" i="6"/>
  <c r="F15" i="3"/>
  <c r="F32" i="3"/>
  <c r="C15" i="6" l="1"/>
  <c r="C7" i="6"/>
  <c r="G32" i="3"/>
  <c r="G15" i="3"/>
  <c r="E15" i="6" l="1"/>
  <c r="E7" i="6"/>
</calcChain>
</file>

<file path=xl/sharedStrings.xml><?xml version="1.0" encoding="utf-8"?>
<sst xmlns="http://schemas.openxmlformats.org/spreadsheetml/2006/main" count="199" uniqueCount="34">
  <si>
    <t>ANO 1</t>
  </si>
  <si>
    <t>Ticket</t>
  </si>
  <si>
    <t>MÊS</t>
  </si>
  <si>
    <t>FATURAMENTO</t>
  </si>
  <si>
    <t>CUSTO DIRETO</t>
  </si>
  <si>
    <t>LUCRO LÍQUIDO</t>
  </si>
  <si>
    <t>CLIENTES</t>
  </si>
  <si>
    <t>CUSTO PLATAFORMA</t>
  </si>
  <si>
    <t>CUSTO STOP LOSS</t>
  </si>
  <si>
    <t>TRADERS ATIVOS</t>
  </si>
  <si>
    <t>TRADERS STOP LOSS</t>
  </si>
  <si>
    <t>STOP LOSS</t>
  </si>
  <si>
    <t>ANO 2</t>
  </si>
  <si>
    <t>ANO 3</t>
  </si>
  <si>
    <t>Corretagem</t>
  </si>
  <si>
    <t>Custo</t>
  </si>
  <si>
    <t>Lucro Bruto</t>
  </si>
  <si>
    <t>CONTRATOS</t>
  </si>
  <si>
    <t>ABERT. FECH.</t>
  </si>
  <si>
    <t>OPERAÇÕES / DIA</t>
  </si>
  <si>
    <t>DIAS OPERADOS</t>
  </si>
  <si>
    <t>CUSTO IR</t>
  </si>
  <si>
    <t>VALOR LÍQUIDO</t>
  </si>
  <si>
    <t>1 SALÁRIO MÍNIMO</t>
  </si>
  <si>
    <t>REPASSE 90%</t>
  </si>
  <si>
    <t>MESA 10%</t>
  </si>
  <si>
    <t>RECEITAS</t>
  </si>
  <si>
    <t>EXAMES</t>
  </si>
  <si>
    <t>CORRETAGEM</t>
  </si>
  <si>
    <t>TRADERS XS</t>
  </si>
  <si>
    <t>TRADERS APROVADOS</t>
  </si>
  <si>
    <t>ANO</t>
  </si>
  <si>
    <t>PLATAFORMAS</t>
  </si>
  <si>
    <t>IMPOSTO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</si>
</sst>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0" xfId="0" applyNumberFormat="1"/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4" borderId="1" xfId="0" applyNumberFormat="1" applyFill="1" applyBorder="1"/>
    <xf numFmtId="164" fontId="0" fillId="0" borderId="0" xfId="1" applyNumberFormat="1" applyFont="1"/>
    <xf numFmtId="164" fontId="0" fillId="0" borderId="1" xfId="0" applyNumberFormat="1" applyBorder="1"/>
    <xf numFmtId="164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EXAMES!$E$2</c:f>
              <c:strCache>
                <c:ptCount val="1"/>
                <c:pt idx="0">
                  <c:v>FATURAMENTO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EXAMES!$E$3:$E$14</c:f>
              <c:numCache>
                <c:formatCode>_-[$R$-416]\ * #,##0.00_-;\-[$R$-416]\ * #,##0.00_-;_-[$R$-416]\ * "-"??_-;_-@_-</c:formatCode>
                <c:ptCount val="12"/>
                <c:pt idx="0">
                  <c:v>994</c:v>
                </c:pt>
                <c:pt idx="1">
                  <c:v>1491</c:v>
                </c:pt>
                <c:pt idx="2">
                  <c:v>2485</c:v>
                </c:pt>
                <c:pt idx="3">
                  <c:v>2982</c:v>
                </c:pt>
                <c:pt idx="4">
                  <c:v>3479</c:v>
                </c:pt>
                <c:pt idx="5">
                  <c:v>3976</c:v>
                </c:pt>
                <c:pt idx="6">
                  <c:v>4473</c:v>
                </c:pt>
                <c:pt idx="7">
                  <c:v>4970</c:v>
                </c:pt>
                <c:pt idx="8">
                  <c:v>5467</c:v>
                </c:pt>
                <c:pt idx="9">
                  <c:v>5964</c:v>
                </c:pt>
                <c:pt idx="10">
                  <c:v>6461</c:v>
                </c:pt>
                <c:pt idx="11">
                  <c:v>6958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56-4059-B200-13ADDF8CDA18}"/>
            </c:ext>
          </c:extLst>
        </c:ser>
        <c:ser>
          <c:idx val="2"/>
          <c:order val="1"/>
          <c:tx>
            <c:strRef>
              <c:f>EXAMES!$F$2</c:f>
              <c:strCache>
                <c:ptCount val="1"/>
                <c:pt idx="0">
                  <c:v>CUSTO DIRETO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EXAMES!$F$3:$F$14</c:f>
              <c:numCache>
                <c:formatCode>_-[$R$-416]\ * #,##0.00_-;\-[$R$-416]\ * #,##0.00_-;_-[$R$-416]\ * "-"??_-;_-@_-</c:formatCode>
                <c:ptCount val="12"/>
                <c:pt idx="0">
                  <c:v>2554.8000000000002</c:v>
                </c:pt>
                <c:pt idx="1">
                  <c:v>2644.7</c:v>
                </c:pt>
                <c:pt idx="2">
                  <c:v>2824.5</c:v>
                </c:pt>
                <c:pt idx="3">
                  <c:v>2914.4</c:v>
                </c:pt>
                <c:pt idx="4">
                  <c:v>3004.3</c:v>
                </c:pt>
                <c:pt idx="5">
                  <c:v>3094.2</c:v>
                </c:pt>
                <c:pt idx="6">
                  <c:v>3184.1</c:v>
                </c:pt>
                <c:pt idx="7">
                  <c:v>3274</c:v>
                </c:pt>
                <c:pt idx="8">
                  <c:v>3363.9</c:v>
                </c:pt>
                <c:pt idx="9">
                  <c:v>3453.8</c:v>
                </c:pt>
                <c:pt idx="10">
                  <c:v>3543.7</c:v>
                </c:pt>
                <c:pt idx="11">
                  <c:v>3633.6000000000004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56-4059-B200-13ADDF8CDA18}"/>
            </c:ext>
          </c:extLst>
        </c:ser>
        <c:ser>
          <c:idx val="3"/>
          <c:order val="2"/>
          <c:tx>
            <c:strRef>
              <c:f>EXAMES!$H$2</c:f>
              <c:strCache>
                <c:ptCount val="1"/>
                <c:pt idx="0">
                  <c:v>LUCRO LÍQUIDO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EXAMES!$H$3:$H$14</c:f>
              <c:numCache>
                <c:formatCode>_-[$R$-416]\ * #,##0.00_-;\-[$R$-416]\ * #,##0.00_-;_-[$R$-416]\ * "-"??_-;_-@_-</c:formatCode>
                <c:ptCount val="12"/>
                <c:pt idx="0">
                  <c:v>-1660.2000000000003</c:v>
                </c:pt>
                <c:pt idx="1">
                  <c:v>-1302.7999999999997</c:v>
                </c:pt>
                <c:pt idx="2">
                  <c:v>-588</c:v>
                </c:pt>
                <c:pt idx="3">
                  <c:v>-230.60000000000008</c:v>
                </c:pt>
                <c:pt idx="4">
                  <c:v>126.79999999999978</c:v>
                </c:pt>
                <c:pt idx="5">
                  <c:v>484.20000000000016</c:v>
                </c:pt>
                <c:pt idx="6">
                  <c:v>841.60000000000014</c:v>
                </c:pt>
                <c:pt idx="7">
                  <c:v>1199</c:v>
                </c:pt>
                <c:pt idx="8">
                  <c:v>1556.3999999999999</c:v>
                </c:pt>
                <c:pt idx="9">
                  <c:v>1913.7999999999997</c:v>
                </c:pt>
                <c:pt idx="10">
                  <c:v>2271.2000000000003</c:v>
                </c:pt>
                <c:pt idx="11">
                  <c:v>2628.5999999999995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F56-4059-B200-13ADDF8CDA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9793199"/>
        <c:axId val="509788399"/>
      </c:lineChart>
      <c:catAx>
        <c:axId val="50979319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9788399"/>
        <c:crosses val="autoZero"/>
        <c:auto val="1"/>
        <c:lblAlgn val="ctr"/>
        <c:lblOffset val="100"/>
        <c:noMultiLvlLbl val="0"/>
      </c:catAx>
      <c:valAx>
        <c:axId val="50978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9793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EXAMES!$E$2</c:f>
              <c:strCache>
                <c:ptCount val="1"/>
                <c:pt idx="0">
                  <c:v>FATURAMENTO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EXAMES!$E$20:$E$31</c:f>
              <c:numCache>
                <c:formatCode>_-[$R$-416]\ * #,##0.00_-;\-[$R$-416]\ * #,##0.00_-;_-[$R$-416]\ * "-"??_-;_-@_-</c:formatCode>
                <c:ptCount val="12"/>
                <c:pt idx="0">
                  <c:v>2485</c:v>
                </c:pt>
                <c:pt idx="1">
                  <c:v>2982</c:v>
                </c:pt>
                <c:pt idx="2">
                  <c:v>3479</c:v>
                </c:pt>
                <c:pt idx="3">
                  <c:v>3976</c:v>
                </c:pt>
                <c:pt idx="4">
                  <c:v>4473</c:v>
                </c:pt>
                <c:pt idx="5">
                  <c:v>4970</c:v>
                </c:pt>
                <c:pt idx="6">
                  <c:v>4970</c:v>
                </c:pt>
                <c:pt idx="7">
                  <c:v>5467</c:v>
                </c:pt>
                <c:pt idx="8">
                  <c:v>5964</c:v>
                </c:pt>
                <c:pt idx="9">
                  <c:v>6461</c:v>
                </c:pt>
                <c:pt idx="10">
                  <c:v>6958</c:v>
                </c:pt>
                <c:pt idx="11">
                  <c:v>7455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56-4059-B200-13ADDF8CDA18}"/>
            </c:ext>
          </c:extLst>
        </c:ser>
        <c:ser>
          <c:idx val="2"/>
          <c:order val="1"/>
          <c:tx>
            <c:strRef>
              <c:f>EXAMES!$F$2</c:f>
              <c:strCache>
                <c:ptCount val="1"/>
                <c:pt idx="0">
                  <c:v>CUSTO DIRETO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EXAMES!$F$20:$F$31</c:f>
              <c:numCache>
                <c:formatCode>_-[$R$-416]\ * #,##0.00_-;\-[$R$-416]\ * #,##0.00_-;_-[$R$-416]\ * "-"??_-;_-@_-</c:formatCode>
                <c:ptCount val="12"/>
                <c:pt idx="0">
                  <c:v>3299.5</c:v>
                </c:pt>
                <c:pt idx="1">
                  <c:v>3389.4</c:v>
                </c:pt>
                <c:pt idx="2">
                  <c:v>3479.3</c:v>
                </c:pt>
                <c:pt idx="3">
                  <c:v>3569.2</c:v>
                </c:pt>
                <c:pt idx="4">
                  <c:v>3659.1</c:v>
                </c:pt>
                <c:pt idx="5">
                  <c:v>3749</c:v>
                </c:pt>
                <c:pt idx="6">
                  <c:v>3749</c:v>
                </c:pt>
                <c:pt idx="7">
                  <c:v>3838.9</c:v>
                </c:pt>
                <c:pt idx="8">
                  <c:v>3928.8</c:v>
                </c:pt>
                <c:pt idx="9">
                  <c:v>4018.7</c:v>
                </c:pt>
                <c:pt idx="10">
                  <c:v>4108.6000000000004</c:v>
                </c:pt>
                <c:pt idx="11">
                  <c:v>4198.5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56-4059-B200-13ADDF8CDA18}"/>
            </c:ext>
          </c:extLst>
        </c:ser>
        <c:ser>
          <c:idx val="3"/>
          <c:order val="2"/>
          <c:tx>
            <c:strRef>
              <c:f>EXAMES!$H$2</c:f>
              <c:strCache>
                <c:ptCount val="1"/>
                <c:pt idx="0">
                  <c:v>LUCRO LÍQUIDO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EXAMES!$H$20:$H$31</c:f>
              <c:numCache>
                <c:formatCode>_-[$R$-416]\ * #,##0.00_-;\-[$R$-416]\ * #,##0.00_-;_-[$R$-416]\ * "-"??_-;_-@_-</c:formatCode>
                <c:ptCount val="12"/>
                <c:pt idx="0">
                  <c:v>-1063</c:v>
                </c:pt>
                <c:pt idx="1">
                  <c:v>-705.60000000000014</c:v>
                </c:pt>
                <c:pt idx="2">
                  <c:v>-348.20000000000022</c:v>
                </c:pt>
                <c:pt idx="3">
                  <c:v>9.2000000000001592</c:v>
                </c:pt>
                <c:pt idx="4">
                  <c:v>366.60000000000008</c:v>
                </c:pt>
                <c:pt idx="5">
                  <c:v>724</c:v>
                </c:pt>
                <c:pt idx="6">
                  <c:v>724</c:v>
                </c:pt>
                <c:pt idx="7">
                  <c:v>1081.3999999999999</c:v>
                </c:pt>
                <c:pt idx="8">
                  <c:v>1438.7999999999997</c:v>
                </c:pt>
                <c:pt idx="9">
                  <c:v>1796.2000000000003</c:v>
                </c:pt>
                <c:pt idx="10">
                  <c:v>2153.5999999999995</c:v>
                </c:pt>
                <c:pt idx="11">
                  <c:v>2511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F56-4059-B200-13ADDF8CDA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9793199"/>
        <c:axId val="509788399"/>
      </c:lineChart>
      <c:catAx>
        <c:axId val="50979319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9788399"/>
        <c:crosses val="autoZero"/>
        <c:auto val="1"/>
        <c:lblAlgn val="ctr"/>
        <c:lblOffset val="100"/>
        <c:noMultiLvlLbl val="0"/>
      </c:catAx>
      <c:valAx>
        <c:axId val="50978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9793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EXAMES!$E$2</c:f>
              <c:strCache>
                <c:ptCount val="1"/>
                <c:pt idx="0">
                  <c:v>FATURAMENTO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EXAMES!$E$37:$E$48</c:f>
              <c:numCache>
                <c:formatCode>_-[$R$-416]\ * #,##0.00_-;\-[$R$-416]\ * #,##0.00_-;_-[$R$-416]\ * "-"??_-;_-@_-</c:formatCode>
                <c:ptCount val="12"/>
                <c:pt idx="0">
                  <c:v>3479</c:v>
                </c:pt>
                <c:pt idx="1">
                  <c:v>3976</c:v>
                </c:pt>
                <c:pt idx="2">
                  <c:v>4473</c:v>
                </c:pt>
                <c:pt idx="3">
                  <c:v>4970</c:v>
                </c:pt>
                <c:pt idx="4">
                  <c:v>5467</c:v>
                </c:pt>
                <c:pt idx="5">
                  <c:v>5964</c:v>
                </c:pt>
                <c:pt idx="6">
                  <c:v>5964</c:v>
                </c:pt>
                <c:pt idx="7">
                  <c:v>6461</c:v>
                </c:pt>
                <c:pt idx="8">
                  <c:v>6958</c:v>
                </c:pt>
                <c:pt idx="9">
                  <c:v>7455</c:v>
                </c:pt>
                <c:pt idx="10">
                  <c:v>7952</c:v>
                </c:pt>
                <c:pt idx="11">
                  <c:v>8449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56-4059-B200-13ADDF8CDA18}"/>
            </c:ext>
          </c:extLst>
        </c:ser>
        <c:ser>
          <c:idx val="2"/>
          <c:order val="1"/>
          <c:tx>
            <c:strRef>
              <c:f>EXAMES!$F$2</c:f>
              <c:strCache>
                <c:ptCount val="1"/>
                <c:pt idx="0">
                  <c:v>CUSTO DIRETO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EXAMES!$F$37:$F$48</c:f>
              <c:numCache>
                <c:formatCode>_-[$R$-416]\ * #,##0.00_-;\-[$R$-416]\ * #,##0.00_-;_-[$R$-416]\ * "-"??_-;_-@_-</c:formatCode>
                <c:ptCount val="12"/>
                <c:pt idx="0">
                  <c:v>3954.3</c:v>
                </c:pt>
                <c:pt idx="1">
                  <c:v>4044.2</c:v>
                </c:pt>
                <c:pt idx="2">
                  <c:v>4134.1000000000004</c:v>
                </c:pt>
                <c:pt idx="3">
                  <c:v>4224</c:v>
                </c:pt>
                <c:pt idx="4">
                  <c:v>4313.8999999999996</c:v>
                </c:pt>
                <c:pt idx="5">
                  <c:v>4403.8</c:v>
                </c:pt>
                <c:pt idx="6">
                  <c:v>4403.8</c:v>
                </c:pt>
                <c:pt idx="7">
                  <c:v>4493.7</c:v>
                </c:pt>
                <c:pt idx="8">
                  <c:v>4583.6000000000004</c:v>
                </c:pt>
                <c:pt idx="9">
                  <c:v>4673.5</c:v>
                </c:pt>
                <c:pt idx="10">
                  <c:v>4763.3999999999996</c:v>
                </c:pt>
                <c:pt idx="11">
                  <c:v>4853.3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56-4059-B200-13ADDF8CDA18}"/>
            </c:ext>
          </c:extLst>
        </c:ser>
        <c:ser>
          <c:idx val="3"/>
          <c:order val="2"/>
          <c:tx>
            <c:strRef>
              <c:f>EXAMES!$H$2</c:f>
              <c:strCache>
                <c:ptCount val="1"/>
                <c:pt idx="0">
                  <c:v>LUCRO LÍQUIDO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EXAMES!$H$37:$H$48</c:f>
              <c:numCache>
                <c:formatCode>_-[$R$-416]\ * #,##0.00_-;\-[$R$-416]\ * #,##0.00_-;_-[$R$-416]\ * "-"??_-;_-@_-</c:formatCode>
                <c:ptCount val="12"/>
                <c:pt idx="0">
                  <c:v>-823.20000000000027</c:v>
                </c:pt>
                <c:pt idx="1">
                  <c:v>-465.79999999999984</c:v>
                </c:pt>
                <c:pt idx="2">
                  <c:v>-108.40000000000038</c:v>
                </c:pt>
                <c:pt idx="3">
                  <c:v>249</c:v>
                </c:pt>
                <c:pt idx="4">
                  <c:v>606.40000000000032</c:v>
                </c:pt>
                <c:pt idx="5">
                  <c:v>963.79999999999984</c:v>
                </c:pt>
                <c:pt idx="6">
                  <c:v>963.79999999999984</c:v>
                </c:pt>
                <c:pt idx="7">
                  <c:v>1321.2000000000003</c:v>
                </c:pt>
                <c:pt idx="8">
                  <c:v>1678.5999999999995</c:v>
                </c:pt>
                <c:pt idx="9">
                  <c:v>2036</c:v>
                </c:pt>
                <c:pt idx="10">
                  <c:v>2393.4000000000005</c:v>
                </c:pt>
                <c:pt idx="11">
                  <c:v>2750.7999999999997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F56-4059-B200-13ADDF8CDA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9793199"/>
        <c:axId val="509788399"/>
      </c:lineChart>
      <c:catAx>
        <c:axId val="50979319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9788399"/>
        <c:crosses val="autoZero"/>
        <c:auto val="1"/>
        <c:lblAlgn val="ctr"/>
        <c:lblOffset val="100"/>
        <c:noMultiLvlLbl val="0"/>
      </c:catAx>
      <c:valAx>
        <c:axId val="50978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9793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EXAMES!$E$52</c:f>
              <c:strCache>
                <c:ptCount val="1"/>
                <c:pt idx="0">
                  <c:v>FATURAMENTO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val>
            <c:numRef>
              <c:f>EXAMES!$E$53:$E$55</c:f>
              <c:numCache>
                <c:formatCode>_-[$R$-416]\ * #,##0.00_-;\-[$R$-416]\ * #,##0.00_-;_-[$R$-416]\ * "-"??_-;_-@_-</c:formatCode>
                <c:ptCount val="3"/>
                <c:pt idx="0">
                  <c:v>49700</c:v>
                </c:pt>
                <c:pt idx="1">
                  <c:v>59640</c:v>
                </c:pt>
                <c:pt idx="2">
                  <c:v>71568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42-4495-BCB2-B49B73C8ACC9}"/>
            </c:ext>
          </c:extLst>
        </c:ser>
        <c:ser>
          <c:idx val="2"/>
          <c:order val="1"/>
          <c:tx>
            <c:strRef>
              <c:f>EXAMES!$F$52</c:f>
              <c:strCache>
                <c:ptCount val="1"/>
                <c:pt idx="0">
                  <c:v>CUSTO DIRETO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val>
            <c:numRef>
              <c:f>EXAMES!$F$53:$F$55</c:f>
              <c:numCache>
                <c:formatCode>_-[$R$-416]\ * #,##0.00_-;\-[$R$-416]\ * #,##0.00_-;_-[$R$-416]\ * "-"??_-;_-@_-</c:formatCode>
                <c:ptCount val="3"/>
                <c:pt idx="0">
                  <c:v>37490</c:v>
                </c:pt>
                <c:pt idx="1">
                  <c:v>44988</c:v>
                </c:pt>
                <c:pt idx="2">
                  <c:v>52845.599999999999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42-4495-BCB2-B49B73C8ACC9}"/>
            </c:ext>
          </c:extLst>
        </c:ser>
        <c:ser>
          <c:idx val="3"/>
          <c:order val="2"/>
          <c:tx>
            <c:strRef>
              <c:f>EXAMES!$H$52</c:f>
              <c:strCache>
                <c:ptCount val="1"/>
                <c:pt idx="0">
                  <c:v>LUCRO LÍQUIDO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val>
            <c:numRef>
              <c:f>EXAMES!$H$53:$H$55</c:f>
              <c:numCache>
                <c:formatCode>_-[$R$-416]\ * #,##0.00_-;\-[$R$-416]\ * #,##0.00_-;_-[$R$-416]\ * "-"??_-;_-@_-</c:formatCode>
                <c:ptCount val="3"/>
                <c:pt idx="0">
                  <c:v>7239.9999999999991</c:v>
                </c:pt>
                <c:pt idx="1">
                  <c:v>8688</c:v>
                </c:pt>
                <c:pt idx="2">
                  <c:v>11565.599999999999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942-4495-BCB2-B49B73C8AC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8498431"/>
        <c:axId val="1068483071"/>
      </c:lineChart>
      <c:catAx>
        <c:axId val="106849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68483071"/>
        <c:crosses val="autoZero"/>
        <c:auto val="1"/>
        <c:lblAlgn val="ctr"/>
        <c:lblOffset val="100"/>
        <c:noMultiLvlLbl val="0"/>
      </c:catAx>
      <c:valAx>
        <c:axId val="106848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68498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PLATAFORMAS!$E$52</c:f>
              <c:strCache>
                <c:ptCount val="1"/>
                <c:pt idx="0">
                  <c:v>FATURAMENTO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val>
            <c:numRef>
              <c:f>PLATAFORMAS!$E$53:$E$55</c:f>
              <c:numCache>
                <c:formatCode>_-[$R$-416]\ * #,##0.00_-;\-[$R$-416]\ * #,##0.00_-;_-[$R$-416]\ * "-"??_-;_-@_-</c:formatCode>
                <c:ptCount val="3"/>
                <c:pt idx="0">
                  <c:v>2970</c:v>
                </c:pt>
                <c:pt idx="1">
                  <c:v>9999</c:v>
                </c:pt>
                <c:pt idx="2">
                  <c:v>18315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42-4495-BCB2-B49B73C8ACC9}"/>
            </c:ext>
          </c:extLst>
        </c:ser>
        <c:ser>
          <c:idx val="2"/>
          <c:order val="1"/>
          <c:tx>
            <c:strRef>
              <c:f>PLATAFORMAS!$F$52</c:f>
              <c:strCache>
                <c:ptCount val="1"/>
                <c:pt idx="0">
                  <c:v>CUSTO DIRETO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val>
            <c:numRef>
              <c:f>PLATAFORMAS!$F$53:$F$55</c:f>
              <c:numCache>
                <c:formatCode>_-[$R$-416]\ * #,##0.00_-;\-[$R$-416]\ * #,##0.00_-;_-[$R$-416]\ * "-"??_-;_-@_-</c:formatCode>
                <c:ptCount val="3"/>
                <c:pt idx="0">
                  <c:v>2697</c:v>
                </c:pt>
                <c:pt idx="1">
                  <c:v>9079.9000000000015</c:v>
                </c:pt>
                <c:pt idx="2">
                  <c:v>16631.5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42-4495-BCB2-B49B73C8ACC9}"/>
            </c:ext>
          </c:extLst>
        </c:ser>
        <c:ser>
          <c:idx val="3"/>
          <c:order val="2"/>
          <c:tx>
            <c:strRef>
              <c:f>PLATAFORMAS!$G$52</c:f>
              <c:strCache>
                <c:ptCount val="1"/>
                <c:pt idx="0">
                  <c:v>LUCRO LÍQUIDO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val>
            <c:numRef>
              <c:f>PLATAFORMAS!$G$53:$G$55</c:f>
              <c:numCache>
                <c:formatCode>_-[$R$-416]\ * #,##0.00_-;\-[$R$-416]\ * #,##0.00_-;_-[$R$-416]\ * "-"??_-;_-@_-</c:formatCode>
                <c:ptCount val="3"/>
                <c:pt idx="0">
                  <c:v>272.99999999999983</c:v>
                </c:pt>
                <c:pt idx="1">
                  <c:v>919.09999999999945</c:v>
                </c:pt>
                <c:pt idx="2">
                  <c:v>1683.4999999999989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942-4495-BCB2-B49B73C8AC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8498431"/>
        <c:axId val="1068483071"/>
      </c:lineChart>
      <c:catAx>
        <c:axId val="106849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68483071"/>
        <c:crosses val="autoZero"/>
        <c:auto val="1"/>
        <c:lblAlgn val="ctr"/>
        <c:lblOffset val="100"/>
        <c:noMultiLvlLbl val="0"/>
      </c:catAx>
      <c:valAx>
        <c:axId val="106848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68498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2"/>
          <c:order val="0"/>
          <c:tx>
            <c:strRef>
              <c:f>CORRETAGEM!$E$52</c:f>
              <c:strCache>
                <c:ptCount val="1"/>
                <c:pt idx="0">
                  <c:v>FATURAMENTO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val>
            <c:numRef>
              <c:f>CORRETAGEM!$E$53:$E$55</c:f>
              <c:numCache>
                <c:formatCode>_-[$R$-416]\ * #,##0.00_-;\-[$R$-416]\ * #,##0.00_-;_-[$R$-416]\ * "-"??_-;_-@_-</c:formatCode>
                <c:ptCount val="3"/>
                <c:pt idx="0">
                  <c:v>9720</c:v>
                </c:pt>
                <c:pt idx="1">
                  <c:v>32724</c:v>
                </c:pt>
                <c:pt idx="2">
                  <c:v>59940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42-4495-BCB2-B49B73C8ACC9}"/>
            </c:ext>
          </c:extLst>
        </c:ser>
        <c:ser>
          <c:idx val="3"/>
          <c:order val="1"/>
          <c:tx>
            <c:strRef>
              <c:f>CORRETAGEM!$F$52</c:f>
              <c:strCache>
                <c:ptCount val="1"/>
                <c:pt idx="0">
                  <c:v>CUSTO DIRETO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val>
            <c:numRef>
              <c:f>CORRETAGEM!$F$53:$F$55</c:f>
              <c:numCache>
                <c:formatCode>_-[$R$-416]\ * #,##0.00_-;\-[$R$-416]\ * #,##0.00_-;_-[$R$-416]\ * "-"??_-;_-@_-</c:formatCode>
                <c:ptCount val="3"/>
                <c:pt idx="0">
                  <c:v>8100</c:v>
                </c:pt>
                <c:pt idx="1">
                  <c:v>27270</c:v>
                </c:pt>
                <c:pt idx="2">
                  <c:v>49950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942-4495-BCB2-B49B73C8ACC9}"/>
            </c:ext>
          </c:extLst>
        </c:ser>
        <c:ser>
          <c:idx val="0"/>
          <c:order val="2"/>
          <c:tx>
            <c:strRef>
              <c:f>CORRETAGEM!$G$52</c:f>
              <c:strCache>
                <c:ptCount val="1"/>
                <c:pt idx="0">
                  <c:v>LUCRO LÍQUIDO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CORRETAGEM!$G$53:$G$55</c:f>
              <c:numCache>
                <c:formatCode>_-[$R$-416]\ * #,##0.00_-;\-[$R$-416]\ * #,##0.00_-;_-[$R$-416]\ * "-"??_-;_-@_-</c:formatCode>
                <c:ptCount val="3"/>
                <c:pt idx="0">
                  <c:v>1620</c:v>
                </c:pt>
                <c:pt idx="1">
                  <c:v>5454</c:v>
                </c:pt>
                <c:pt idx="2">
                  <c:v>9990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C13-43AB-B61D-B1384A872F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8498431"/>
        <c:axId val="1068483071"/>
      </c:lineChart>
      <c:catAx>
        <c:axId val="106849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68483071"/>
        <c:crosses val="autoZero"/>
        <c:auto val="1"/>
        <c:lblAlgn val="ctr"/>
        <c:lblOffset val="100"/>
        <c:noMultiLvlLbl val="0"/>
      </c:catAx>
      <c:valAx>
        <c:axId val="106848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68498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'TRADERS FOCO'!$E$52</c:f>
              <c:strCache>
                <c:ptCount val="1"/>
                <c:pt idx="0">
                  <c:v>FATURAMENTO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val>
            <c:numRef>
              <c:f>'TRADERS FOCO'!$E$53:$E$55</c:f>
              <c:numCache>
                <c:formatCode>_-[$R$-416]\ * #,##0.00_-;\-[$R$-416]\ * #,##0.00_-;_-[$R$-416]\ * "-"??_-;_-@_-</c:formatCode>
                <c:ptCount val="3"/>
                <c:pt idx="0">
                  <c:v>39600</c:v>
                </c:pt>
                <c:pt idx="1">
                  <c:v>133320</c:v>
                </c:pt>
                <c:pt idx="2">
                  <c:v>244200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42-4495-BCB2-B49B73C8ACC9}"/>
            </c:ext>
          </c:extLst>
        </c:ser>
        <c:ser>
          <c:idx val="2"/>
          <c:order val="1"/>
          <c:tx>
            <c:strRef>
              <c:f>'TRADERS FOCO'!$F$52</c:f>
              <c:strCache>
                <c:ptCount val="1"/>
                <c:pt idx="0">
                  <c:v>CUSTO DIRETO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val>
            <c:numRef>
              <c:f>'TRADERS FOCO'!$F$53:$F$55</c:f>
              <c:numCache>
                <c:formatCode>_-[$R$-416]\ * #,##0.00_-;\-[$R$-416]\ * #,##0.00_-;_-[$R$-416]\ * "-"??_-;_-@_-</c:formatCode>
                <c:ptCount val="3"/>
                <c:pt idx="0">
                  <c:v>36432</c:v>
                </c:pt>
                <c:pt idx="1">
                  <c:v>122654.39999999999</c:v>
                </c:pt>
                <c:pt idx="2">
                  <c:v>224664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42-4495-BCB2-B49B73C8ACC9}"/>
            </c:ext>
          </c:extLst>
        </c:ser>
        <c:ser>
          <c:idx val="3"/>
          <c:order val="2"/>
          <c:tx>
            <c:strRef>
              <c:f>'TRADERS FOCO'!$G$52</c:f>
              <c:strCache>
                <c:ptCount val="1"/>
                <c:pt idx="0">
                  <c:v>LUCRO LÍQUIDO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val>
            <c:numRef>
              <c:f>'TRADERS FOCO'!$G$53:$G$55</c:f>
              <c:numCache>
                <c:formatCode>_-[$R$-416]\ * #,##0.00_-;\-[$R$-416]\ * #,##0.00_-;_-[$R$-416]\ * "-"??_-;_-@_-</c:formatCode>
                <c:ptCount val="3"/>
                <c:pt idx="0">
                  <c:v>3167.9999999999982</c:v>
                </c:pt>
                <c:pt idx="1">
                  <c:v>10665.599999999991</c:v>
                </c:pt>
                <c:pt idx="2">
                  <c:v>19535.999999999982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942-4495-BCB2-B49B73C8AC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8498431"/>
        <c:axId val="1068483071"/>
      </c:lineChart>
      <c:catAx>
        <c:axId val="106849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68483071"/>
        <c:crosses val="autoZero"/>
        <c:auto val="1"/>
        <c:lblAlgn val="ctr"/>
        <c:lblOffset val="100"/>
        <c:noMultiLvlLbl val="0"/>
      </c:catAx>
      <c:valAx>
        <c:axId val="106848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68498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</xdr:colOff>
      <xdr:row>1</xdr:row>
      <xdr:rowOff>4762</xdr:rowOff>
    </xdr:from>
    <xdr:to>
      <xdr:col>18</xdr:col>
      <xdr:colOff>314325</xdr:colOff>
      <xdr:row>15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DEE1225-B6A5-FDCA-387D-DD41120D31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18</xdr:row>
      <xdr:rowOff>0</xdr:rowOff>
    </xdr:from>
    <xdr:to>
      <xdr:col>18</xdr:col>
      <xdr:colOff>304800</xdr:colOff>
      <xdr:row>32</xdr:row>
      <xdr:rowOff>76200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F69B5F5-2A9B-491D-9108-B55A0935A7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35</xdr:row>
      <xdr:rowOff>0</xdr:rowOff>
    </xdr:from>
    <xdr:to>
      <xdr:col>18</xdr:col>
      <xdr:colOff>304800</xdr:colOff>
      <xdr:row>49</xdr:row>
      <xdr:rowOff>76200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3CD3388-B2B5-4574-AA56-912433863A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19050</xdr:colOff>
      <xdr:row>51</xdr:row>
      <xdr:rowOff>14287</xdr:rowOff>
    </xdr:from>
    <xdr:to>
      <xdr:col>18</xdr:col>
      <xdr:colOff>323850</xdr:colOff>
      <xdr:row>65</xdr:row>
      <xdr:rowOff>90487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9F205620-18F9-9326-5882-14006E8E43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52</xdr:row>
      <xdr:rowOff>4762</xdr:rowOff>
    </xdr:from>
    <xdr:to>
      <xdr:col>15</xdr:col>
      <xdr:colOff>323850</xdr:colOff>
      <xdr:row>66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A4A144F-E897-9CB0-9239-C8ACE09494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52</xdr:row>
      <xdr:rowOff>14287</xdr:rowOff>
    </xdr:from>
    <xdr:to>
      <xdr:col>15</xdr:col>
      <xdr:colOff>323850</xdr:colOff>
      <xdr:row>66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D2EFE7A-516F-3388-990F-9C0F88FE42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52</xdr:row>
      <xdr:rowOff>14287</xdr:rowOff>
    </xdr:from>
    <xdr:to>
      <xdr:col>15</xdr:col>
      <xdr:colOff>323850</xdr:colOff>
      <xdr:row>66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27C007C-263C-2F98-082F-9E8BDB3BDE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764D9-79A8-43EB-890B-429D33AF6C82}">
  <dimension ref="A1:J56"/>
  <sheetViews>
    <sheetView tabSelected="1" workbookViewId="0">
      <selection sqref="A1:J1"/>
    </sheetView>
  </sheetViews>
  <sheetFormatPr defaultRowHeight="15" x14ac:dyDescent="0.25"/>
  <cols>
    <col min="1" max="1" width="20.85546875" bestFit="1" customWidth="1"/>
    <col min="2" max="2" width="12.140625" bestFit="1" customWidth="1"/>
    <col min="3" max="3" width="3" bestFit="1" customWidth="1"/>
    <col min="4" max="4" width="5.140625" bestFit="1" customWidth="1"/>
    <col min="5" max="5" width="14.7109375" bestFit="1" customWidth="1"/>
    <col min="6" max="6" width="13.85546875" bestFit="1" customWidth="1"/>
    <col min="7" max="7" width="13.85546875" customWidth="1"/>
    <col min="8" max="8" width="14.85546875" bestFit="1" customWidth="1"/>
    <col min="10" max="10" width="9" bestFit="1" customWidth="1"/>
  </cols>
  <sheetData>
    <row r="1" spans="1:10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t="s">
        <v>1</v>
      </c>
      <c r="B2" s="1">
        <v>497</v>
      </c>
      <c r="D2" s="2" t="s">
        <v>2</v>
      </c>
      <c r="E2" s="2" t="s">
        <v>3</v>
      </c>
      <c r="F2" s="2" t="s">
        <v>4</v>
      </c>
      <c r="G2" s="2" t="s">
        <v>33</v>
      </c>
      <c r="H2" s="2" t="s">
        <v>5</v>
      </c>
      <c r="J2" s="3" t="s">
        <v>6</v>
      </c>
    </row>
    <row r="3" spans="1:10" x14ac:dyDescent="0.25">
      <c r="A3" t="s">
        <v>7</v>
      </c>
      <c r="B3" s="1">
        <v>89.9</v>
      </c>
      <c r="C3" s="1"/>
      <c r="D3" s="2">
        <v>1</v>
      </c>
      <c r="E3" s="4">
        <f>$B$2*J3</f>
        <v>994</v>
      </c>
      <c r="F3" s="4">
        <f>($B$3*J3)+$B$4</f>
        <v>2554.8000000000002</v>
      </c>
      <c r="G3" s="4">
        <f>E3*0.1</f>
        <v>99.4</v>
      </c>
      <c r="H3" s="4">
        <f>E3-F3-G3</f>
        <v>-1660.2000000000003</v>
      </c>
      <c r="J3" s="3">
        <v>2</v>
      </c>
    </row>
    <row r="4" spans="1:10" x14ac:dyDescent="0.25">
      <c r="A4" t="s">
        <v>8</v>
      </c>
      <c r="B4" s="1">
        <f>B6*B7/12</f>
        <v>2375</v>
      </c>
      <c r="C4" s="1"/>
      <c r="D4" s="2">
        <v>2</v>
      </c>
      <c r="E4" s="4">
        <f t="shared" ref="E4:E14" si="0">$B$2*J4</f>
        <v>1491</v>
      </c>
      <c r="F4" s="4">
        <f>($B$3*J4)+$B$4</f>
        <v>2644.7</v>
      </c>
      <c r="G4" s="4">
        <f t="shared" ref="G4:G14" si="1">E4*0.1</f>
        <v>149.1</v>
      </c>
      <c r="H4" s="4">
        <f t="shared" ref="H4:H14" si="2">E4-F4-G4</f>
        <v>-1302.7999999999997</v>
      </c>
      <c r="J4" s="3">
        <v>3</v>
      </c>
    </row>
    <row r="5" spans="1:10" x14ac:dyDescent="0.25">
      <c r="A5" t="s">
        <v>9</v>
      </c>
      <c r="B5">
        <v>5</v>
      </c>
      <c r="D5" s="2">
        <v>3</v>
      </c>
      <c r="E5" s="4">
        <f t="shared" si="0"/>
        <v>2485</v>
      </c>
      <c r="F5" s="4">
        <f>($B$3*J5)+$B$4</f>
        <v>2824.5</v>
      </c>
      <c r="G5" s="4">
        <f t="shared" si="1"/>
        <v>248.5</v>
      </c>
      <c r="H5" s="4">
        <f t="shared" si="2"/>
        <v>-588</v>
      </c>
      <c r="J5" s="3">
        <v>5</v>
      </c>
    </row>
    <row r="6" spans="1:10" x14ac:dyDescent="0.25">
      <c r="A6" t="s">
        <v>10</v>
      </c>
      <c r="B6">
        <v>15</v>
      </c>
      <c r="D6" s="2">
        <v>4</v>
      </c>
      <c r="E6" s="4">
        <f t="shared" si="0"/>
        <v>2982</v>
      </c>
      <c r="F6" s="4">
        <f>($B$3*J6)+$B$4</f>
        <v>2914.4</v>
      </c>
      <c r="G6" s="4">
        <f t="shared" si="1"/>
        <v>298.2</v>
      </c>
      <c r="H6" s="4">
        <f t="shared" si="2"/>
        <v>-230.60000000000008</v>
      </c>
      <c r="J6" s="3">
        <v>6</v>
      </c>
    </row>
    <row r="7" spans="1:10" x14ac:dyDescent="0.25">
      <c r="A7" t="s">
        <v>11</v>
      </c>
      <c r="B7" s="1">
        <v>1900</v>
      </c>
      <c r="D7" s="2">
        <v>5</v>
      </c>
      <c r="E7" s="4">
        <f t="shared" si="0"/>
        <v>3479</v>
      </c>
      <c r="F7" s="4">
        <f t="shared" ref="F7:F14" si="3">($B$3*J7)+$B$4</f>
        <v>3004.3</v>
      </c>
      <c r="G7" s="4">
        <f t="shared" si="1"/>
        <v>347.90000000000003</v>
      </c>
      <c r="H7" s="4">
        <f t="shared" si="2"/>
        <v>126.79999999999978</v>
      </c>
      <c r="J7" s="3">
        <v>7</v>
      </c>
    </row>
    <row r="8" spans="1:10" x14ac:dyDescent="0.25">
      <c r="D8" s="2">
        <v>6</v>
      </c>
      <c r="E8" s="4">
        <f t="shared" si="0"/>
        <v>3976</v>
      </c>
      <c r="F8" s="4">
        <f t="shared" si="3"/>
        <v>3094.2</v>
      </c>
      <c r="G8" s="4">
        <f t="shared" si="1"/>
        <v>397.6</v>
      </c>
      <c r="H8" s="4">
        <f t="shared" si="2"/>
        <v>484.20000000000016</v>
      </c>
      <c r="J8" s="3">
        <v>8</v>
      </c>
    </row>
    <row r="9" spans="1:10" x14ac:dyDescent="0.25">
      <c r="A9" t="s">
        <v>30</v>
      </c>
      <c r="B9">
        <v>20</v>
      </c>
      <c r="D9" s="2">
        <v>7</v>
      </c>
      <c r="E9" s="4">
        <f t="shared" si="0"/>
        <v>4473</v>
      </c>
      <c r="F9" s="4">
        <f t="shared" si="3"/>
        <v>3184.1</v>
      </c>
      <c r="G9" s="4">
        <f t="shared" si="1"/>
        <v>447.3</v>
      </c>
      <c r="H9" s="4">
        <f t="shared" si="2"/>
        <v>841.60000000000014</v>
      </c>
      <c r="J9" s="3">
        <v>9</v>
      </c>
    </row>
    <row r="10" spans="1:10" x14ac:dyDescent="0.25">
      <c r="D10" s="2">
        <v>8</v>
      </c>
      <c r="E10" s="4">
        <f t="shared" si="0"/>
        <v>4970</v>
      </c>
      <c r="F10" s="4">
        <f t="shared" si="3"/>
        <v>3274</v>
      </c>
      <c r="G10" s="4">
        <f t="shared" si="1"/>
        <v>497</v>
      </c>
      <c r="H10" s="4">
        <f t="shared" si="2"/>
        <v>1199</v>
      </c>
      <c r="J10" s="3">
        <v>10</v>
      </c>
    </row>
    <row r="11" spans="1:10" x14ac:dyDescent="0.25">
      <c r="D11" s="2">
        <v>9</v>
      </c>
      <c r="E11" s="4">
        <f t="shared" si="0"/>
        <v>5467</v>
      </c>
      <c r="F11" s="4">
        <f t="shared" si="3"/>
        <v>3363.9</v>
      </c>
      <c r="G11" s="4">
        <f t="shared" si="1"/>
        <v>546.70000000000005</v>
      </c>
      <c r="H11" s="4">
        <f t="shared" si="2"/>
        <v>1556.3999999999999</v>
      </c>
      <c r="J11" s="3">
        <v>11</v>
      </c>
    </row>
    <row r="12" spans="1:10" x14ac:dyDescent="0.25">
      <c r="D12" s="2">
        <v>10</v>
      </c>
      <c r="E12" s="4">
        <f t="shared" si="0"/>
        <v>5964</v>
      </c>
      <c r="F12" s="4">
        <f t="shared" si="3"/>
        <v>3453.8</v>
      </c>
      <c r="G12" s="4">
        <f t="shared" si="1"/>
        <v>596.4</v>
      </c>
      <c r="H12" s="4">
        <f t="shared" si="2"/>
        <v>1913.7999999999997</v>
      </c>
      <c r="J12" s="3">
        <v>12</v>
      </c>
    </row>
    <row r="13" spans="1:10" x14ac:dyDescent="0.25">
      <c r="D13" s="2">
        <v>11</v>
      </c>
      <c r="E13" s="4">
        <f t="shared" si="0"/>
        <v>6461</v>
      </c>
      <c r="F13" s="4">
        <f t="shared" si="3"/>
        <v>3543.7</v>
      </c>
      <c r="G13" s="4">
        <f t="shared" si="1"/>
        <v>646.1</v>
      </c>
      <c r="H13" s="4">
        <f t="shared" si="2"/>
        <v>2271.2000000000003</v>
      </c>
      <c r="J13" s="3">
        <v>13</v>
      </c>
    </row>
    <row r="14" spans="1:10" x14ac:dyDescent="0.25">
      <c r="D14" s="2">
        <v>12</v>
      </c>
      <c r="E14" s="4">
        <f t="shared" si="0"/>
        <v>6958</v>
      </c>
      <c r="F14" s="4">
        <f t="shared" si="3"/>
        <v>3633.6000000000004</v>
      </c>
      <c r="G14" s="4">
        <f t="shared" si="1"/>
        <v>695.80000000000007</v>
      </c>
      <c r="H14" s="4">
        <f t="shared" si="2"/>
        <v>2628.5999999999995</v>
      </c>
      <c r="J14" s="3">
        <v>14</v>
      </c>
    </row>
    <row r="15" spans="1:10" x14ac:dyDescent="0.25">
      <c r="E15" s="5">
        <f t="shared" ref="E15:H15" si="4">SUM(E3:E14)</f>
        <v>49700</v>
      </c>
      <c r="F15" s="5">
        <f t="shared" si="4"/>
        <v>37490</v>
      </c>
      <c r="G15" s="5">
        <f t="shared" si="4"/>
        <v>4970</v>
      </c>
      <c r="H15" s="5">
        <f t="shared" si="4"/>
        <v>7239.9999999999991</v>
      </c>
      <c r="J15" s="10">
        <f>SUM(J3:J14)</f>
        <v>100</v>
      </c>
    </row>
    <row r="18" spans="1:10" x14ac:dyDescent="0.25">
      <c r="A18" s="11" t="s">
        <v>12</v>
      </c>
      <c r="B18" s="11"/>
      <c r="C18" s="11"/>
      <c r="D18" s="11"/>
      <c r="E18" s="11"/>
      <c r="F18" s="11"/>
      <c r="G18" s="11"/>
      <c r="H18" s="11"/>
      <c r="I18" s="11"/>
      <c r="J18" s="11"/>
    </row>
    <row r="19" spans="1:10" x14ac:dyDescent="0.25">
      <c r="A19" t="s">
        <v>1</v>
      </c>
      <c r="B19" s="1">
        <v>497</v>
      </c>
      <c r="D19" s="2" t="s">
        <v>2</v>
      </c>
      <c r="E19" s="2" t="s">
        <v>3</v>
      </c>
      <c r="F19" s="2" t="s">
        <v>4</v>
      </c>
      <c r="G19" s="2" t="s">
        <v>33</v>
      </c>
      <c r="H19" s="2" t="s">
        <v>5</v>
      </c>
      <c r="J19" s="3" t="s">
        <v>6</v>
      </c>
    </row>
    <row r="20" spans="1:10" x14ac:dyDescent="0.25">
      <c r="A20" t="s">
        <v>7</v>
      </c>
      <c r="B20" s="1">
        <v>89.9</v>
      </c>
      <c r="C20" s="1"/>
      <c r="D20" s="2">
        <v>1</v>
      </c>
      <c r="E20" s="4">
        <f>$B$19*J20</f>
        <v>2485</v>
      </c>
      <c r="F20" s="4">
        <f>($B$20*J20)+$B$21</f>
        <v>3299.5</v>
      </c>
      <c r="G20" s="4">
        <f>E20*0.1</f>
        <v>248.5</v>
      </c>
      <c r="H20" s="4">
        <f>E20-F20-G20</f>
        <v>-1063</v>
      </c>
      <c r="J20" s="3">
        <v>5</v>
      </c>
    </row>
    <row r="21" spans="1:10" x14ac:dyDescent="0.25">
      <c r="A21" t="s">
        <v>8</v>
      </c>
      <c r="B21" s="1">
        <f>B23*B24/12</f>
        <v>2850</v>
      </c>
      <c r="C21" s="1"/>
      <c r="D21" s="2">
        <v>2</v>
      </c>
      <c r="E21" s="4">
        <f t="shared" ref="E21:E31" si="5">$B$19*J21</f>
        <v>2982</v>
      </c>
      <c r="F21" s="4">
        <f t="shared" ref="F21:F31" si="6">($B$20*J21)+$B$21</f>
        <v>3389.4</v>
      </c>
      <c r="G21" s="4">
        <f t="shared" ref="G21:G31" si="7">E21*0.1</f>
        <v>298.2</v>
      </c>
      <c r="H21" s="4">
        <f t="shared" ref="H21:H31" si="8">E21-F21-G21</f>
        <v>-705.60000000000014</v>
      </c>
      <c r="J21" s="3">
        <v>6</v>
      </c>
    </row>
    <row r="22" spans="1:10" x14ac:dyDescent="0.25">
      <c r="A22" t="s">
        <v>9</v>
      </c>
      <c r="B22">
        <v>6</v>
      </c>
      <c r="D22" s="2">
        <v>3</v>
      </c>
      <c r="E22" s="4">
        <f t="shared" si="5"/>
        <v>3479</v>
      </c>
      <c r="F22" s="4">
        <f t="shared" si="6"/>
        <v>3479.3</v>
      </c>
      <c r="G22" s="4">
        <f t="shared" si="7"/>
        <v>347.90000000000003</v>
      </c>
      <c r="H22" s="4">
        <f t="shared" si="8"/>
        <v>-348.20000000000022</v>
      </c>
      <c r="J22" s="3">
        <v>7</v>
      </c>
    </row>
    <row r="23" spans="1:10" x14ac:dyDescent="0.25">
      <c r="A23" t="s">
        <v>10</v>
      </c>
      <c r="B23">
        <v>18</v>
      </c>
      <c r="D23" s="2">
        <v>4</v>
      </c>
      <c r="E23" s="4">
        <f t="shared" si="5"/>
        <v>3976</v>
      </c>
      <c r="F23" s="4">
        <f t="shared" si="6"/>
        <v>3569.2</v>
      </c>
      <c r="G23" s="4">
        <f t="shared" si="7"/>
        <v>397.6</v>
      </c>
      <c r="H23" s="4">
        <f t="shared" si="8"/>
        <v>9.2000000000001592</v>
      </c>
      <c r="J23" s="3">
        <v>8</v>
      </c>
    </row>
    <row r="24" spans="1:10" x14ac:dyDescent="0.25">
      <c r="A24" t="s">
        <v>11</v>
      </c>
      <c r="B24" s="1">
        <v>1900</v>
      </c>
      <c r="D24" s="2">
        <v>5</v>
      </c>
      <c r="E24" s="4">
        <f t="shared" si="5"/>
        <v>4473</v>
      </c>
      <c r="F24" s="4">
        <f t="shared" si="6"/>
        <v>3659.1</v>
      </c>
      <c r="G24" s="4">
        <f t="shared" si="7"/>
        <v>447.3</v>
      </c>
      <c r="H24" s="4">
        <f t="shared" si="8"/>
        <v>366.60000000000008</v>
      </c>
      <c r="J24" s="3">
        <v>9</v>
      </c>
    </row>
    <row r="25" spans="1:10" x14ac:dyDescent="0.25">
      <c r="D25" s="2">
        <v>6</v>
      </c>
      <c r="E25" s="4">
        <f t="shared" si="5"/>
        <v>4970</v>
      </c>
      <c r="F25" s="4">
        <f t="shared" si="6"/>
        <v>3749</v>
      </c>
      <c r="G25" s="4">
        <f t="shared" si="7"/>
        <v>497</v>
      </c>
      <c r="H25" s="4">
        <f t="shared" si="8"/>
        <v>724</v>
      </c>
      <c r="J25" s="3">
        <v>10</v>
      </c>
    </row>
    <row r="26" spans="1:10" x14ac:dyDescent="0.25">
      <c r="A26" t="s">
        <v>30</v>
      </c>
      <c r="B26">
        <v>24</v>
      </c>
      <c r="D26" s="2">
        <v>7</v>
      </c>
      <c r="E26" s="4">
        <f t="shared" si="5"/>
        <v>4970</v>
      </c>
      <c r="F26" s="4">
        <f t="shared" si="6"/>
        <v>3749</v>
      </c>
      <c r="G26" s="4">
        <f t="shared" si="7"/>
        <v>497</v>
      </c>
      <c r="H26" s="4">
        <f t="shared" si="8"/>
        <v>724</v>
      </c>
      <c r="J26" s="3">
        <v>10</v>
      </c>
    </row>
    <row r="27" spans="1:10" x14ac:dyDescent="0.25">
      <c r="D27" s="2">
        <v>8</v>
      </c>
      <c r="E27" s="4">
        <f t="shared" si="5"/>
        <v>5467</v>
      </c>
      <c r="F27" s="4">
        <f t="shared" si="6"/>
        <v>3838.9</v>
      </c>
      <c r="G27" s="4">
        <f t="shared" si="7"/>
        <v>546.70000000000005</v>
      </c>
      <c r="H27" s="4">
        <f t="shared" si="8"/>
        <v>1081.3999999999999</v>
      </c>
      <c r="J27" s="3">
        <v>11</v>
      </c>
    </row>
    <row r="28" spans="1:10" x14ac:dyDescent="0.25">
      <c r="D28" s="2">
        <v>9</v>
      </c>
      <c r="E28" s="4">
        <f t="shared" si="5"/>
        <v>5964</v>
      </c>
      <c r="F28" s="4">
        <f t="shared" si="6"/>
        <v>3928.8</v>
      </c>
      <c r="G28" s="4">
        <f t="shared" si="7"/>
        <v>596.4</v>
      </c>
      <c r="H28" s="4">
        <f t="shared" si="8"/>
        <v>1438.7999999999997</v>
      </c>
      <c r="J28" s="3">
        <v>12</v>
      </c>
    </row>
    <row r="29" spans="1:10" x14ac:dyDescent="0.25">
      <c r="D29" s="2">
        <v>10</v>
      </c>
      <c r="E29" s="4">
        <f t="shared" si="5"/>
        <v>6461</v>
      </c>
      <c r="F29" s="4">
        <f t="shared" si="6"/>
        <v>4018.7</v>
      </c>
      <c r="G29" s="4">
        <f t="shared" si="7"/>
        <v>646.1</v>
      </c>
      <c r="H29" s="4">
        <f t="shared" si="8"/>
        <v>1796.2000000000003</v>
      </c>
      <c r="J29" s="3">
        <v>13</v>
      </c>
    </row>
    <row r="30" spans="1:10" x14ac:dyDescent="0.25">
      <c r="D30" s="2">
        <v>11</v>
      </c>
      <c r="E30" s="4">
        <f t="shared" si="5"/>
        <v>6958</v>
      </c>
      <c r="F30" s="4">
        <f t="shared" si="6"/>
        <v>4108.6000000000004</v>
      </c>
      <c r="G30" s="4">
        <f t="shared" si="7"/>
        <v>695.80000000000007</v>
      </c>
      <c r="H30" s="4">
        <f t="shared" si="8"/>
        <v>2153.5999999999995</v>
      </c>
      <c r="J30" s="3">
        <v>14</v>
      </c>
    </row>
    <row r="31" spans="1:10" x14ac:dyDescent="0.25">
      <c r="D31" s="2">
        <v>12</v>
      </c>
      <c r="E31" s="4">
        <f t="shared" si="5"/>
        <v>7455</v>
      </c>
      <c r="F31" s="4">
        <f t="shared" si="6"/>
        <v>4198.5</v>
      </c>
      <c r="G31" s="4">
        <f t="shared" si="7"/>
        <v>745.5</v>
      </c>
      <c r="H31" s="4">
        <f t="shared" si="8"/>
        <v>2511</v>
      </c>
      <c r="J31" s="3">
        <v>15</v>
      </c>
    </row>
    <row r="32" spans="1:10" x14ac:dyDescent="0.25">
      <c r="E32" s="5">
        <f t="shared" ref="E32:H32" si="9">SUM(E20:E31)</f>
        <v>59640</v>
      </c>
      <c r="F32" s="5">
        <f t="shared" si="9"/>
        <v>44988</v>
      </c>
      <c r="G32" s="5">
        <f t="shared" si="9"/>
        <v>5964</v>
      </c>
      <c r="H32" s="5">
        <f t="shared" si="9"/>
        <v>8688</v>
      </c>
      <c r="J32" s="3">
        <f>SUM(J20:J31)</f>
        <v>120</v>
      </c>
    </row>
    <row r="35" spans="1:10" x14ac:dyDescent="0.25">
      <c r="A35" s="11" t="s">
        <v>13</v>
      </c>
      <c r="B35" s="11"/>
      <c r="C35" s="11"/>
      <c r="D35" s="11"/>
      <c r="E35" s="11"/>
      <c r="F35" s="11"/>
      <c r="G35" s="11"/>
      <c r="H35" s="11"/>
      <c r="I35" s="11"/>
      <c r="J35" s="11"/>
    </row>
    <row r="36" spans="1:10" x14ac:dyDescent="0.25">
      <c r="A36" t="s">
        <v>1</v>
      </c>
      <c r="B36" s="1">
        <v>497</v>
      </c>
      <c r="D36" s="2" t="s">
        <v>2</v>
      </c>
      <c r="E36" s="2" t="s">
        <v>3</v>
      </c>
      <c r="F36" s="2" t="s">
        <v>4</v>
      </c>
      <c r="G36" s="2" t="s">
        <v>33</v>
      </c>
      <c r="H36" s="2" t="s">
        <v>5</v>
      </c>
      <c r="J36" s="3" t="s">
        <v>6</v>
      </c>
    </row>
    <row r="37" spans="1:10" x14ac:dyDescent="0.25">
      <c r="A37" t="s">
        <v>7</v>
      </c>
      <c r="B37" s="1">
        <v>89.9</v>
      </c>
      <c r="C37" s="1"/>
      <c r="D37" s="2">
        <v>1</v>
      </c>
      <c r="E37" s="4">
        <f>$B$36*J37</f>
        <v>3479</v>
      </c>
      <c r="F37" s="4">
        <f>($B$37*J37)+$B$38</f>
        <v>3954.3</v>
      </c>
      <c r="G37" s="4">
        <f>E37*0.1</f>
        <v>347.90000000000003</v>
      </c>
      <c r="H37" s="4">
        <f>E37-F37-G37</f>
        <v>-823.20000000000027</v>
      </c>
      <c r="J37" s="3">
        <v>7</v>
      </c>
    </row>
    <row r="38" spans="1:10" x14ac:dyDescent="0.25">
      <c r="A38" t="s">
        <v>8</v>
      </c>
      <c r="B38" s="1">
        <f>B40*B41/12</f>
        <v>3325</v>
      </c>
      <c r="C38" s="1"/>
      <c r="D38" s="2">
        <v>2</v>
      </c>
      <c r="E38" s="4">
        <f t="shared" ref="E38:E48" si="10">$B$36*J38</f>
        <v>3976</v>
      </c>
      <c r="F38" s="4">
        <f t="shared" ref="F38:F48" si="11">($B$37*J38)+$B$38</f>
        <v>4044.2</v>
      </c>
      <c r="G38" s="4">
        <f t="shared" ref="G38:G48" si="12">E38*0.1</f>
        <v>397.6</v>
      </c>
      <c r="H38" s="4">
        <f t="shared" ref="H38:H48" si="13">E38-F38-G38</f>
        <v>-465.79999999999984</v>
      </c>
      <c r="J38" s="3">
        <v>8</v>
      </c>
    </row>
    <row r="39" spans="1:10" x14ac:dyDescent="0.25">
      <c r="A39" t="s">
        <v>9</v>
      </c>
      <c r="B39">
        <v>7</v>
      </c>
      <c r="D39" s="2">
        <v>3</v>
      </c>
      <c r="E39" s="4">
        <f t="shared" si="10"/>
        <v>4473</v>
      </c>
      <c r="F39" s="4">
        <f t="shared" si="11"/>
        <v>4134.1000000000004</v>
      </c>
      <c r="G39" s="4">
        <f t="shared" si="12"/>
        <v>447.3</v>
      </c>
      <c r="H39" s="4">
        <f t="shared" si="13"/>
        <v>-108.40000000000038</v>
      </c>
      <c r="J39" s="3">
        <v>9</v>
      </c>
    </row>
    <row r="40" spans="1:10" x14ac:dyDescent="0.25">
      <c r="A40" t="s">
        <v>10</v>
      </c>
      <c r="B40">
        <v>21</v>
      </c>
      <c r="D40" s="2">
        <v>4</v>
      </c>
      <c r="E40" s="4">
        <f t="shared" si="10"/>
        <v>4970</v>
      </c>
      <c r="F40" s="4">
        <f t="shared" si="11"/>
        <v>4224</v>
      </c>
      <c r="G40" s="4">
        <f t="shared" si="12"/>
        <v>497</v>
      </c>
      <c r="H40" s="4">
        <f t="shared" si="13"/>
        <v>249</v>
      </c>
      <c r="J40" s="3">
        <v>10</v>
      </c>
    </row>
    <row r="41" spans="1:10" x14ac:dyDescent="0.25">
      <c r="A41" t="s">
        <v>11</v>
      </c>
      <c r="B41" s="1">
        <v>1900</v>
      </c>
      <c r="D41" s="2">
        <v>5</v>
      </c>
      <c r="E41" s="4">
        <f t="shared" si="10"/>
        <v>5467</v>
      </c>
      <c r="F41" s="4">
        <f t="shared" si="11"/>
        <v>4313.8999999999996</v>
      </c>
      <c r="G41" s="4">
        <f t="shared" si="12"/>
        <v>546.70000000000005</v>
      </c>
      <c r="H41" s="4">
        <f t="shared" si="13"/>
        <v>606.40000000000032</v>
      </c>
      <c r="J41" s="3">
        <v>11</v>
      </c>
    </row>
    <row r="42" spans="1:10" x14ac:dyDescent="0.25">
      <c r="D42" s="2">
        <v>6</v>
      </c>
      <c r="E42" s="4">
        <f t="shared" si="10"/>
        <v>5964</v>
      </c>
      <c r="F42" s="4">
        <f t="shared" si="11"/>
        <v>4403.8</v>
      </c>
      <c r="G42" s="4">
        <f t="shared" si="12"/>
        <v>596.4</v>
      </c>
      <c r="H42" s="4">
        <f t="shared" si="13"/>
        <v>963.79999999999984</v>
      </c>
      <c r="J42" s="3">
        <v>12</v>
      </c>
    </row>
    <row r="43" spans="1:10" x14ac:dyDescent="0.25">
      <c r="A43" t="s">
        <v>30</v>
      </c>
      <c r="B43">
        <v>28</v>
      </c>
      <c r="D43" s="2">
        <v>7</v>
      </c>
      <c r="E43" s="4">
        <f t="shared" si="10"/>
        <v>5964</v>
      </c>
      <c r="F43" s="4">
        <f t="shared" si="11"/>
        <v>4403.8</v>
      </c>
      <c r="G43" s="4">
        <f t="shared" si="12"/>
        <v>596.4</v>
      </c>
      <c r="H43" s="4">
        <f t="shared" si="13"/>
        <v>963.79999999999984</v>
      </c>
      <c r="J43" s="3">
        <v>12</v>
      </c>
    </row>
    <row r="44" spans="1:10" x14ac:dyDescent="0.25">
      <c r="D44" s="2">
        <v>8</v>
      </c>
      <c r="E44" s="4">
        <f t="shared" si="10"/>
        <v>6461</v>
      </c>
      <c r="F44" s="4">
        <f t="shared" si="11"/>
        <v>4493.7</v>
      </c>
      <c r="G44" s="4">
        <f t="shared" si="12"/>
        <v>646.1</v>
      </c>
      <c r="H44" s="4">
        <f t="shared" si="13"/>
        <v>1321.2000000000003</v>
      </c>
      <c r="J44" s="3">
        <v>13</v>
      </c>
    </row>
    <row r="45" spans="1:10" x14ac:dyDescent="0.25">
      <c r="D45" s="2">
        <v>9</v>
      </c>
      <c r="E45" s="4">
        <f t="shared" si="10"/>
        <v>6958</v>
      </c>
      <c r="F45" s="4">
        <f t="shared" si="11"/>
        <v>4583.6000000000004</v>
      </c>
      <c r="G45" s="4">
        <f t="shared" si="12"/>
        <v>695.80000000000007</v>
      </c>
      <c r="H45" s="4">
        <f t="shared" si="13"/>
        <v>1678.5999999999995</v>
      </c>
      <c r="J45" s="3">
        <v>14</v>
      </c>
    </row>
    <row r="46" spans="1:10" x14ac:dyDescent="0.25">
      <c r="D46" s="2">
        <v>10</v>
      </c>
      <c r="E46" s="4">
        <f t="shared" si="10"/>
        <v>7455</v>
      </c>
      <c r="F46" s="4">
        <f t="shared" si="11"/>
        <v>4673.5</v>
      </c>
      <c r="G46" s="4">
        <f t="shared" si="12"/>
        <v>745.5</v>
      </c>
      <c r="H46" s="4">
        <f t="shared" si="13"/>
        <v>2036</v>
      </c>
      <c r="J46" s="3">
        <v>15</v>
      </c>
    </row>
    <row r="47" spans="1:10" x14ac:dyDescent="0.25">
      <c r="D47" s="2">
        <v>11</v>
      </c>
      <c r="E47" s="4">
        <f t="shared" si="10"/>
        <v>7952</v>
      </c>
      <c r="F47" s="4">
        <f t="shared" si="11"/>
        <v>4763.3999999999996</v>
      </c>
      <c r="G47" s="4">
        <f t="shared" si="12"/>
        <v>795.2</v>
      </c>
      <c r="H47" s="4">
        <f t="shared" si="13"/>
        <v>2393.4000000000005</v>
      </c>
      <c r="J47" s="3">
        <v>16</v>
      </c>
    </row>
    <row r="48" spans="1:10" x14ac:dyDescent="0.25">
      <c r="D48" s="2">
        <v>12</v>
      </c>
      <c r="E48" s="4">
        <f t="shared" si="10"/>
        <v>8449</v>
      </c>
      <c r="F48" s="4">
        <f t="shared" si="11"/>
        <v>4853.3</v>
      </c>
      <c r="G48" s="4">
        <f t="shared" si="12"/>
        <v>844.90000000000009</v>
      </c>
      <c r="H48" s="4">
        <f t="shared" si="13"/>
        <v>2750.7999999999997</v>
      </c>
      <c r="J48" s="3">
        <v>17</v>
      </c>
    </row>
    <row r="49" spans="4:10" x14ac:dyDescent="0.25">
      <c r="E49" s="5">
        <f t="shared" ref="E49:H49" si="14">SUM(E37:E48)</f>
        <v>71568</v>
      </c>
      <c r="F49" s="5">
        <f t="shared" si="14"/>
        <v>52845.599999999999</v>
      </c>
      <c r="G49" s="5">
        <f t="shared" si="14"/>
        <v>7156.7999999999993</v>
      </c>
      <c r="H49" s="5">
        <f t="shared" si="14"/>
        <v>11565.599999999999</v>
      </c>
      <c r="J49" s="3">
        <f>SUM(J37:J48)</f>
        <v>144</v>
      </c>
    </row>
    <row r="52" spans="4:10" x14ac:dyDescent="0.25">
      <c r="D52" s="2" t="s">
        <v>31</v>
      </c>
      <c r="E52" s="2" t="s">
        <v>3</v>
      </c>
      <c r="F52" s="2" t="s">
        <v>4</v>
      </c>
      <c r="G52" s="2" t="s">
        <v>33</v>
      </c>
      <c r="H52" s="2" t="s">
        <v>5</v>
      </c>
    </row>
    <row r="53" spans="4:10" x14ac:dyDescent="0.25">
      <c r="D53" s="2">
        <v>1</v>
      </c>
      <c r="E53" s="4">
        <f>E15</f>
        <v>49700</v>
      </c>
      <c r="F53" s="4">
        <f t="shared" ref="F53:H53" si="15">F15</f>
        <v>37490</v>
      </c>
      <c r="G53" s="4">
        <f t="shared" si="15"/>
        <v>4970</v>
      </c>
      <c r="H53" s="4">
        <f t="shared" si="15"/>
        <v>7239.9999999999991</v>
      </c>
    </row>
    <row r="54" spans="4:10" x14ac:dyDescent="0.25">
      <c r="D54" s="2">
        <v>2</v>
      </c>
      <c r="E54" s="4">
        <f>E32</f>
        <v>59640</v>
      </c>
      <c r="F54" s="4">
        <f t="shared" ref="F54:H54" si="16">F32</f>
        <v>44988</v>
      </c>
      <c r="G54" s="4">
        <f t="shared" si="16"/>
        <v>5964</v>
      </c>
      <c r="H54" s="4">
        <f t="shared" si="16"/>
        <v>8688</v>
      </c>
    </row>
    <row r="55" spans="4:10" x14ac:dyDescent="0.25">
      <c r="D55" s="2">
        <v>3</v>
      </c>
      <c r="E55" s="4">
        <f>E49</f>
        <v>71568</v>
      </c>
      <c r="F55" s="4">
        <f t="shared" ref="F55:H55" si="17">F49</f>
        <v>52845.599999999999</v>
      </c>
      <c r="G55" s="4">
        <f t="shared" si="17"/>
        <v>7156.7999999999993</v>
      </c>
      <c r="H55" s="4">
        <f t="shared" si="17"/>
        <v>11565.599999999999</v>
      </c>
    </row>
    <row r="56" spans="4:10" x14ac:dyDescent="0.25">
      <c r="E56" s="8">
        <f>SUM(E53:E55)</f>
        <v>180908</v>
      </c>
      <c r="F56" s="8">
        <f t="shared" ref="F56:H56" si="18">SUM(F53:F55)</f>
        <v>135323.6</v>
      </c>
      <c r="G56" s="8">
        <f t="shared" si="18"/>
        <v>18090.8</v>
      </c>
      <c r="H56" s="8">
        <f t="shared" si="18"/>
        <v>27493.599999999999</v>
      </c>
    </row>
  </sheetData>
  <mergeCells count="3">
    <mergeCell ref="A1:J1"/>
    <mergeCell ref="A18:J18"/>
    <mergeCell ref="A35:J35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137EC-45C1-485E-8327-58C042638D45}">
  <dimension ref="A1:I56"/>
  <sheetViews>
    <sheetView workbookViewId="0">
      <selection sqref="A1:I1"/>
    </sheetView>
  </sheetViews>
  <sheetFormatPr defaultRowHeight="15" x14ac:dyDescent="0.25"/>
  <cols>
    <col min="1" max="1" width="19.7109375" bestFit="1" customWidth="1"/>
    <col min="2" max="2" width="9.5703125" bestFit="1" customWidth="1"/>
    <col min="4" max="4" width="5.140625" bestFit="1" customWidth="1"/>
    <col min="5" max="5" width="14.7109375" bestFit="1" customWidth="1"/>
    <col min="6" max="6" width="13.85546875" bestFit="1" customWidth="1"/>
    <col min="7" max="7" width="14.85546875" bestFit="1" customWidth="1"/>
    <col min="9" max="9" width="9" bestFit="1" customWidth="1"/>
  </cols>
  <sheetData>
    <row r="1" spans="1:9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</row>
    <row r="2" spans="1:9" x14ac:dyDescent="0.25">
      <c r="A2" t="s">
        <v>1</v>
      </c>
      <c r="B2" s="1">
        <v>99</v>
      </c>
      <c r="D2" s="2" t="s">
        <v>2</v>
      </c>
      <c r="E2" s="2" t="s">
        <v>3</v>
      </c>
      <c r="F2" s="2" t="s">
        <v>4</v>
      </c>
      <c r="G2" s="2" t="s">
        <v>5</v>
      </c>
      <c r="I2" s="3" t="s">
        <v>6</v>
      </c>
    </row>
    <row r="3" spans="1:9" x14ac:dyDescent="0.25">
      <c r="A3" t="s">
        <v>7</v>
      </c>
      <c r="B3" s="1">
        <v>89.9</v>
      </c>
      <c r="C3" s="1"/>
      <c r="D3" s="2">
        <v>1</v>
      </c>
      <c r="E3" s="4">
        <f>$B$2*I3</f>
        <v>0</v>
      </c>
      <c r="F3" s="4">
        <f>$B$3*I3</f>
        <v>0</v>
      </c>
      <c r="G3" s="4">
        <f>E3-F3</f>
        <v>0</v>
      </c>
      <c r="I3" s="3">
        <v>0</v>
      </c>
    </row>
    <row r="4" spans="1:9" x14ac:dyDescent="0.25">
      <c r="A4" t="s">
        <v>9</v>
      </c>
      <c r="B4">
        <v>5</v>
      </c>
      <c r="C4" s="1"/>
      <c r="D4" s="2">
        <v>2</v>
      </c>
      <c r="E4" s="4">
        <f t="shared" ref="E4:E14" si="0">$B$2*I4</f>
        <v>0</v>
      </c>
      <c r="F4" s="4">
        <f t="shared" ref="F4:F14" si="1">$B$3*I4</f>
        <v>0</v>
      </c>
      <c r="G4" s="4">
        <f t="shared" ref="G4:G14" si="2">E4-F4</f>
        <v>0</v>
      </c>
      <c r="I4" s="3">
        <v>0</v>
      </c>
    </row>
    <row r="5" spans="1:9" x14ac:dyDescent="0.25">
      <c r="D5" s="2">
        <v>3</v>
      </c>
      <c r="E5" s="4">
        <f t="shared" si="0"/>
        <v>99</v>
      </c>
      <c r="F5" s="4">
        <f t="shared" si="1"/>
        <v>89.9</v>
      </c>
      <c r="G5" s="4">
        <f t="shared" si="2"/>
        <v>9.0999999999999943</v>
      </c>
      <c r="I5" s="3">
        <v>1</v>
      </c>
    </row>
    <row r="6" spans="1:9" x14ac:dyDescent="0.25">
      <c r="D6" s="2">
        <v>4</v>
      </c>
      <c r="E6" s="4">
        <f t="shared" si="0"/>
        <v>99</v>
      </c>
      <c r="F6" s="4">
        <f t="shared" si="1"/>
        <v>89.9</v>
      </c>
      <c r="G6" s="4">
        <f t="shared" si="2"/>
        <v>9.0999999999999943</v>
      </c>
      <c r="I6" s="3">
        <v>1</v>
      </c>
    </row>
    <row r="7" spans="1:9" x14ac:dyDescent="0.25">
      <c r="D7" s="2">
        <v>5</v>
      </c>
      <c r="E7" s="4">
        <f t="shared" si="0"/>
        <v>198</v>
      </c>
      <c r="F7" s="4">
        <f t="shared" si="1"/>
        <v>179.8</v>
      </c>
      <c r="G7" s="4">
        <f t="shared" si="2"/>
        <v>18.199999999999989</v>
      </c>
      <c r="I7" s="3">
        <v>2</v>
      </c>
    </row>
    <row r="8" spans="1:9" x14ac:dyDescent="0.25">
      <c r="D8" s="2">
        <v>6</v>
      </c>
      <c r="E8" s="4">
        <f t="shared" si="0"/>
        <v>198</v>
      </c>
      <c r="F8" s="4">
        <f t="shared" si="1"/>
        <v>179.8</v>
      </c>
      <c r="G8" s="4">
        <f t="shared" si="2"/>
        <v>18.199999999999989</v>
      </c>
      <c r="I8" s="3">
        <v>2</v>
      </c>
    </row>
    <row r="9" spans="1:9" x14ac:dyDescent="0.25">
      <c r="D9" s="2">
        <v>7</v>
      </c>
      <c r="E9" s="4">
        <f t="shared" si="0"/>
        <v>297</v>
      </c>
      <c r="F9" s="4">
        <f t="shared" si="1"/>
        <v>269.70000000000005</v>
      </c>
      <c r="G9" s="4">
        <f t="shared" si="2"/>
        <v>27.299999999999955</v>
      </c>
      <c r="I9" s="3">
        <v>3</v>
      </c>
    </row>
    <row r="10" spans="1:9" x14ac:dyDescent="0.25">
      <c r="D10" s="2">
        <v>8</v>
      </c>
      <c r="E10" s="4">
        <f t="shared" si="0"/>
        <v>297</v>
      </c>
      <c r="F10" s="4">
        <f t="shared" si="1"/>
        <v>269.70000000000005</v>
      </c>
      <c r="G10" s="4">
        <f t="shared" si="2"/>
        <v>27.299999999999955</v>
      </c>
      <c r="I10" s="3">
        <v>3</v>
      </c>
    </row>
    <row r="11" spans="1:9" x14ac:dyDescent="0.25">
      <c r="D11" s="2">
        <v>9</v>
      </c>
      <c r="E11" s="4">
        <f t="shared" si="0"/>
        <v>396</v>
      </c>
      <c r="F11" s="4">
        <f t="shared" si="1"/>
        <v>359.6</v>
      </c>
      <c r="G11" s="4">
        <f t="shared" si="2"/>
        <v>36.399999999999977</v>
      </c>
      <c r="I11" s="3">
        <v>4</v>
      </c>
    </row>
    <row r="12" spans="1:9" x14ac:dyDescent="0.25">
      <c r="D12" s="2">
        <v>10</v>
      </c>
      <c r="E12" s="4">
        <f t="shared" si="0"/>
        <v>396</v>
      </c>
      <c r="F12" s="4">
        <f t="shared" si="1"/>
        <v>359.6</v>
      </c>
      <c r="G12" s="4">
        <f t="shared" si="2"/>
        <v>36.399999999999977</v>
      </c>
      <c r="I12" s="3">
        <v>4</v>
      </c>
    </row>
    <row r="13" spans="1:9" x14ac:dyDescent="0.25">
      <c r="D13" s="2">
        <v>11</v>
      </c>
      <c r="E13" s="4">
        <f t="shared" si="0"/>
        <v>495</v>
      </c>
      <c r="F13" s="4">
        <f t="shared" si="1"/>
        <v>449.5</v>
      </c>
      <c r="G13" s="4">
        <f t="shared" si="2"/>
        <v>45.5</v>
      </c>
      <c r="I13" s="3">
        <v>5</v>
      </c>
    </row>
    <row r="14" spans="1:9" x14ac:dyDescent="0.25">
      <c r="D14" s="2">
        <v>12</v>
      </c>
      <c r="E14" s="4">
        <f t="shared" si="0"/>
        <v>495</v>
      </c>
      <c r="F14" s="4">
        <f t="shared" si="1"/>
        <v>449.5</v>
      </c>
      <c r="G14" s="4">
        <f t="shared" si="2"/>
        <v>45.5</v>
      </c>
      <c r="I14" s="3">
        <v>5</v>
      </c>
    </row>
    <row r="15" spans="1:9" x14ac:dyDescent="0.25">
      <c r="E15" s="5">
        <f t="shared" ref="E15:G15" si="3">SUM(E3:E14)</f>
        <v>2970</v>
      </c>
      <c r="F15" s="5">
        <f t="shared" si="3"/>
        <v>2697</v>
      </c>
      <c r="G15" s="5">
        <f t="shared" si="3"/>
        <v>272.99999999999983</v>
      </c>
    </row>
    <row r="18" spans="1:9" x14ac:dyDescent="0.25">
      <c r="A18" s="11" t="s">
        <v>12</v>
      </c>
      <c r="B18" s="11"/>
      <c r="C18" s="11"/>
      <c r="D18" s="11"/>
      <c r="E18" s="11"/>
      <c r="F18" s="11"/>
      <c r="G18" s="11"/>
      <c r="H18" s="11"/>
      <c r="I18" s="11"/>
    </row>
    <row r="19" spans="1:9" x14ac:dyDescent="0.25">
      <c r="A19" t="s">
        <v>1</v>
      </c>
      <c r="B19" s="1">
        <v>99</v>
      </c>
      <c r="D19" s="2" t="s">
        <v>2</v>
      </c>
      <c r="E19" s="2" t="s">
        <v>3</v>
      </c>
      <c r="F19" s="2" t="s">
        <v>4</v>
      </c>
      <c r="G19" s="2" t="s">
        <v>5</v>
      </c>
      <c r="I19" s="3" t="s">
        <v>6</v>
      </c>
    </row>
    <row r="20" spans="1:9" x14ac:dyDescent="0.25">
      <c r="A20" t="s">
        <v>7</v>
      </c>
      <c r="B20" s="1">
        <v>89.9</v>
      </c>
      <c r="C20" s="1"/>
      <c r="D20" s="2">
        <v>1</v>
      </c>
      <c r="E20" s="4">
        <f>$B$19*I20</f>
        <v>495</v>
      </c>
      <c r="F20" s="4">
        <f>$B$20*I20</f>
        <v>449.5</v>
      </c>
      <c r="G20" s="4">
        <f>E20-F20</f>
        <v>45.5</v>
      </c>
      <c r="I20" s="3">
        <v>5</v>
      </c>
    </row>
    <row r="21" spans="1:9" x14ac:dyDescent="0.25">
      <c r="A21" t="s">
        <v>9</v>
      </c>
      <c r="B21">
        <v>6</v>
      </c>
      <c r="C21" s="1"/>
      <c r="D21" s="2">
        <v>2</v>
      </c>
      <c r="E21" s="4">
        <f t="shared" ref="E21:E31" si="4">$B$19*I21</f>
        <v>594</v>
      </c>
      <c r="F21" s="4">
        <f t="shared" ref="F21:F31" si="5">$B$20*I21</f>
        <v>539.40000000000009</v>
      </c>
      <c r="G21" s="4">
        <f t="shared" ref="G21:G31" si="6">E21-F21</f>
        <v>54.599999999999909</v>
      </c>
      <c r="I21" s="3">
        <v>6</v>
      </c>
    </row>
    <row r="22" spans="1:9" x14ac:dyDescent="0.25">
      <c r="D22" s="2">
        <v>3</v>
      </c>
      <c r="E22" s="4">
        <f t="shared" si="4"/>
        <v>693</v>
      </c>
      <c r="F22" s="4">
        <f t="shared" si="5"/>
        <v>629.30000000000007</v>
      </c>
      <c r="G22" s="4">
        <f t="shared" si="6"/>
        <v>63.699999999999932</v>
      </c>
      <c r="I22" s="3">
        <v>7</v>
      </c>
    </row>
    <row r="23" spans="1:9" x14ac:dyDescent="0.25">
      <c r="D23" s="2">
        <v>4</v>
      </c>
      <c r="E23" s="4">
        <f t="shared" si="4"/>
        <v>693</v>
      </c>
      <c r="F23" s="4">
        <f t="shared" si="5"/>
        <v>629.30000000000007</v>
      </c>
      <c r="G23" s="4">
        <f t="shared" si="6"/>
        <v>63.699999999999932</v>
      </c>
      <c r="I23" s="3">
        <v>7</v>
      </c>
    </row>
    <row r="24" spans="1:9" x14ac:dyDescent="0.25">
      <c r="D24" s="2">
        <v>5</v>
      </c>
      <c r="E24" s="4">
        <f t="shared" si="4"/>
        <v>792</v>
      </c>
      <c r="F24" s="4">
        <f t="shared" si="5"/>
        <v>719.2</v>
      </c>
      <c r="G24" s="4">
        <f t="shared" si="6"/>
        <v>72.799999999999955</v>
      </c>
      <c r="I24" s="3">
        <v>8</v>
      </c>
    </row>
    <row r="25" spans="1:9" x14ac:dyDescent="0.25">
      <c r="D25" s="2">
        <v>6</v>
      </c>
      <c r="E25" s="4">
        <f t="shared" si="4"/>
        <v>792</v>
      </c>
      <c r="F25" s="4">
        <f t="shared" si="5"/>
        <v>719.2</v>
      </c>
      <c r="G25" s="4">
        <f t="shared" si="6"/>
        <v>72.799999999999955</v>
      </c>
      <c r="I25" s="3">
        <v>8</v>
      </c>
    </row>
    <row r="26" spans="1:9" x14ac:dyDescent="0.25">
      <c r="D26" s="2">
        <v>7</v>
      </c>
      <c r="E26" s="4">
        <f t="shared" si="4"/>
        <v>891</v>
      </c>
      <c r="F26" s="4">
        <f t="shared" si="5"/>
        <v>809.1</v>
      </c>
      <c r="G26" s="4">
        <f t="shared" si="6"/>
        <v>81.899999999999977</v>
      </c>
      <c r="I26" s="3">
        <v>9</v>
      </c>
    </row>
    <row r="27" spans="1:9" x14ac:dyDescent="0.25">
      <c r="D27" s="2">
        <v>8</v>
      </c>
      <c r="E27" s="4">
        <f t="shared" si="4"/>
        <v>891</v>
      </c>
      <c r="F27" s="4">
        <f t="shared" si="5"/>
        <v>809.1</v>
      </c>
      <c r="G27" s="4">
        <f t="shared" si="6"/>
        <v>81.899999999999977</v>
      </c>
      <c r="I27" s="3">
        <v>9</v>
      </c>
    </row>
    <row r="28" spans="1:9" x14ac:dyDescent="0.25">
      <c r="D28" s="2">
        <v>9</v>
      </c>
      <c r="E28" s="4">
        <f t="shared" si="4"/>
        <v>990</v>
      </c>
      <c r="F28" s="4">
        <f t="shared" si="5"/>
        <v>899</v>
      </c>
      <c r="G28" s="4">
        <f t="shared" si="6"/>
        <v>91</v>
      </c>
      <c r="I28" s="3">
        <v>10</v>
      </c>
    </row>
    <row r="29" spans="1:9" x14ac:dyDescent="0.25">
      <c r="D29" s="2">
        <v>10</v>
      </c>
      <c r="E29" s="4">
        <f t="shared" si="4"/>
        <v>990</v>
      </c>
      <c r="F29" s="4">
        <f t="shared" si="5"/>
        <v>899</v>
      </c>
      <c r="G29" s="4">
        <f t="shared" si="6"/>
        <v>91</v>
      </c>
      <c r="I29" s="3">
        <v>10</v>
      </c>
    </row>
    <row r="30" spans="1:9" x14ac:dyDescent="0.25">
      <c r="D30" s="2">
        <v>11</v>
      </c>
      <c r="E30" s="4">
        <f t="shared" si="4"/>
        <v>1089</v>
      </c>
      <c r="F30" s="4">
        <f t="shared" si="5"/>
        <v>988.90000000000009</v>
      </c>
      <c r="G30" s="4">
        <f t="shared" si="6"/>
        <v>100.09999999999991</v>
      </c>
      <c r="I30" s="3">
        <v>11</v>
      </c>
    </row>
    <row r="31" spans="1:9" x14ac:dyDescent="0.25">
      <c r="D31" s="2">
        <v>12</v>
      </c>
      <c r="E31" s="4">
        <f t="shared" si="4"/>
        <v>1089</v>
      </c>
      <c r="F31" s="4">
        <f t="shared" si="5"/>
        <v>988.90000000000009</v>
      </c>
      <c r="G31" s="4">
        <f t="shared" si="6"/>
        <v>100.09999999999991</v>
      </c>
      <c r="I31" s="3">
        <v>11</v>
      </c>
    </row>
    <row r="32" spans="1:9" x14ac:dyDescent="0.25">
      <c r="E32" s="5">
        <f t="shared" ref="E32:G32" si="7">SUM(E20:E31)</f>
        <v>9999</v>
      </c>
      <c r="F32" s="5">
        <f t="shared" si="7"/>
        <v>9079.9000000000015</v>
      </c>
      <c r="G32" s="5">
        <f t="shared" si="7"/>
        <v>919.09999999999945</v>
      </c>
    </row>
    <row r="35" spans="1:9" x14ac:dyDescent="0.25">
      <c r="A35" s="11" t="s">
        <v>13</v>
      </c>
      <c r="B35" s="11"/>
      <c r="C35" s="11"/>
      <c r="D35" s="11"/>
      <c r="E35" s="11"/>
      <c r="F35" s="11"/>
      <c r="G35" s="11"/>
      <c r="H35" s="11"/>
      <c r="I35" s="11"/>
    </row>
    <row r="36" spans="1:9" x14ac:dyDescent="0.25">
      <c r="A36" t="s">
        <v>1</v>
      </c>
      <c r="B36" s="1">
        <v>99</v>
      </c>
      <c r="D36" s="2" t="s">
        <v>2</v>
      </c>
      <c r="E36" s="2" t="s">
        <v>3</v>
      </c>
      <c r="F36" s="2" t="s">
        <v>4</v>
      </c>
      <c r="G36" s="2" t="s">
        <v>5</v>
      </c>
      <c r="I36" s="3" t="s">
        <v>6</v>
      </c>
    </row>
    <row r="37" spans="1:9" x14ac:dyDescent="0.25">
      <c r="A37" t="s">
        <v>7</v>
      </c>
      <c r="B37" s="1">
        <v>89.9</v>
      </c>
      <c r="C37" s="1"/>
      <c r="D37" s="2">
        <v>1</v>
      </c>
      <c r="E37" s="4">
        <f>$B$36*I37</f>
        <v>1188</v>
      </c>
      <c r="F37" s="4">
        <f>$B$37*I37</f>
        <v>1078.8000000000002</v>
      </c>
      <c r="G37" s="4">
        <f>E37-F37</f>
        <v>109.19999999999982</v>
      </c>
      <c r="I37" s="3">
        <v>12</v>
      </c>
    </row>
    <row r="38" spans="1:9" x14ac:dyDescent="0.25">
      <c r="A38" t="s">
        <v>9</v>
      </c>
      <c r="B38">
        <v>7</v>
      </c>
      <c r="C38" s="1"/>
      <c r="D38" s="2">
        <v>2</v>
      </c>
      <c r="E38" s="4">
        <f t="shared" ref="E38:E48" si="8">$B$36*I38</f>
        <v>1287</v>
      </c>
      <c r="F38" s="4">
        <f t="shared" ref="F38:F48" si="9">$B$37*I38</f>
        <v>1168.7</v>
      </c>
      <c r="G38" s="4">
        <f t="shared" ref="G38:G48" si="10">E38-F38</f>
        <v>118.29999999999995</v>
      </c>
      <c r="I38" s="3">
        <v>13</v>
      </c>
    </row>
    <row r="39" spans="1:9" x14ac:dyDescent="0.25">
      <c r="D39" s="2">
        <v>3</v>
      </c>
      <c r="E39" s="4">
        <f t="shared" si="8"/>
        <v>1386</v>
      </c>
      <c r="F39" s="4">
        <f t="shared" si="9"/>
        <v>1258.6000000000001</v>
      </c>
      <c r="G39" s="4">
        <f t="shared" si="10"/>
        <v>127.39999999999986</v>
      </c>
      <c r="I39" s="3">
        <v>14</v>
      </c>
    </row>
    <row r="40" spans="1:9" x14ac:dyDescent="0.25">
      <c r="D40" s="2">
        <v>4</v>
      </c>
      <c r="E40" s="4">
        <f t="shared" si="8"/>
        <v>1386</v>
      </c>
      <c r="F40" s="4">
        <f t="shared" si="9"/>
        <v>1258.6000000000001</v>
      </c>
      <c r="G40" s="4">
        <f t="shared" si="10"/>
        <v>127.39999999999986</v>
      </c>
      <c r="I40" s="3">
        <v>14</v>
      </c>
    </row>
    <row r="41" spans="1:9" x14ac:dyDescent="0.25">
      <c r="D41" s="2">
        <v>5</v>
      </c>
      <c r="E41" s="4">
        <f t="shared" si="8"/>
        <v>1485</v>
      </c>
      <c r="F41" s="4">
        <f t="shared" si="9"/>
        <v>1348.5</v>
      </c>
      <c r="G41" s="4">
        <f t="shared" si="10"/>
        <v>136.5</v>
      </c>
      <c r="I41" s="3">
        <v>15</v>
      </c>
    </row>
    <row r="42" spans="1:9" x14ac:dyDescent="0.25">
      <c r="D42" s="2">
        <v>6</v>
      </c>
      <c r="E42" s="4">
        <f t="shared" si="8"/>
        <v>1485</v>
      </c>
      <c r="F42" s="4">
        <f t="shared" si="9"/>
        <v>1348.5</v>
      </c>
      <c r="G42" s="4">
        <f t="shared" si="10"/>
        <v>136.5</v>
      </c>
      <c r="I42" s="3">
        <v>15</v>
      </c>
    </row>
    <row r="43" spans="1:9" x14ac:dyDescent="0.25">
      <c r="D43" s="2">
        <v>7</v>
      </c>
      <c r="E43" s="4">
        <f t="shared" si="8"/>
        <v>1584</v>
      </c>
      <c r="F43" s="4">
        <f t="shared" si="9"/>
        <v>1438.4</v>
      </c>
      <c r="G43" s="4">
        <f t="shared" si="10"/>
        <v>145.59999999999991</v>
      </c>
      <c r="I43" s="3">
        <v>16</v>
      </c>
    </row>
    <row r="44" spans="1:9" x14ac:dyDescent="0.25">
      <c r="D44" s="2">
        <v>8</v>
      </c>
      <c r="E44" s="4">
        <f t="shared" si="8"/>
        <v>1584</v>
      </c>
      <c r="F44" s="4">
        <f t="shared" si="9"/>
        <v>1438.4</v>
      </c>
      <c r="G44" s="4">
        <f t="shared" si="10"/>
        <v>145.59999999999991</v>
      </c>
      <c r="I44" s="3">
        <v>16</v>
      </c>
    </row>
    <row r="45" spans="1:9" x14ac:dyDescent="0.25">
      <c r="D45" s="2">
        <v>9</v>
      </c>
      <c r="E45" s="4">
        <f t="shared" si="8"/>
        <v>1683</v>
      </c>
      <c r="F45" s="4">
        <f t="shared" si="9"/>
        <v>1528.3000000000002</v>
      </c>
      <c r="G45" s="4">
        <f t="shared" si="10"/>
        <v>154.69999999999982</v>
      </c>
      <c r="I45" s="3">
        <v>17</v>
      </c>
    </row>
    <row r="46" spans="1:9" x14ac:dyDescent="0.25">
      <c r="D46" s="2">
        <v>10</v>
      </c>
      <c r="E46" s="4">
        <f t="shared" si="8"/>
        <v>1683</v>
      </c>
      <c r="F46" s="4">
        <f t="shared" si="9"/>
        <v>1528.3000000000002</v>
      </c>
      <c r="G46" s="4">
        <f t="shared" si="10"/>
        <v>154.69999999999982</v>
      </c>
      <c r="I46" s="3">
        <v>17</v>
      </c>
    </row>
    <row r="47" spans="1:9" x14ac:dyDescent="0.25">
      <c r="D47" s="2">
        <v>11</v>
      </c>
      <c r="E47" s="4">
        <f t="shared" si="8"/>
        <v>1782</v>
      </c>
      <c r="F47" s="4">
        <f t="shared" si="9"/>
        <v>1618.2</v>
      </c>
      <c r="G47" s="4">
        <f t="shared" si="10"/>
        <v>163.79999999999995</v>
      </c>
      <c r="I47" s="3">
        <v>18</v>
      </c>
    </row>
    <row r="48" spans="1:9" x14ac:dyDescent="0.25">
      <c r="D48" s="2">
        <v>12</v>
      </c>
      <c r="E48" s="4">
        <f t="shared" si="8"/>
        <v>1782</v>
      </c>
      <c r="F48" s="4">
        <f t="shared" si="9"/>
        <v>1618.2</v>
      </c>
      <c r="G48" s="4">
        <f t="shared" si="10"/>
        <v>163.79999999999995</v>
      </c>
      <c r="I48" s="3">
        <v>18</v>
      </c>
    </row>
    <row r="49" spans="4:7" x14ac:dyDescent="0.25">
      <c r="E49" s="5">
        <f t="shared" ref="E49:G49" si="11">SUM(E37:E48)</f>
        <v>18315</v>
      </c>
      <c r="F49" s="5">
        <f t="shared" si="11"/>
        <v>16631.5</v>
      </c>
      <c r="G49" s="5">
        <f t="shared" si="11"/>
        <v>1683.4999999999989</v>
      </c>
    </row>
    <row r="52" spans="4:7" x14ac:dyDescent="0.25">
      <c r="D52" s="2" t="s">
        <v>31</v>
      </c>
      <c r="E52" s="2" t="s">
        <v>3</v>
      </c>
      <c r="F52" s="2" t="s">
        <v>4</v>
      </c>
      <c r="G52" s="2" t="s">
        <v>5</v>
      </c>
    </row>
    <row r="53" spans="4:7" x14ac:dyDescent="0.25">
      <c r="D53" s="2">
        <v>1</v>
      </c>
      <c r="E53" s="4">
        <f>E15</f>
        <v>2970</v>
      </c>
      <c r="F53" s="4">
        <f t="shared" ref="F53:G53" si="12">F15</f>
        <v>2697</v>
      </c>
      <c r="G53" s="4">
        <f t="shared" si="12"/>
        <v>272.99999999999983</v>
      </c>
    </row>
    <row r="54" spans="4:7" x14ac:dyDescent="0.25">
      <c r="D54" s="2">
        <v>2</v>
      </c>
      <c r="E54" s="4">
        <f>E32</f>
        <v>9999</v>
      </c>
      <c r="F54" s="4">
        <f t="shared" ref="F54:G54" si="13">F32</f>
        <v>9079.9000000000015</v>
      </c>
      <c r="G54" s="4">
        <f t="shared" si="13"/>
        <v>919.09999999999945</v>
      </c>
    </row>
    <row r="55" spans="4:7" x14ac:dyDescent="0.25">
      <c r="D55" s="2">
        <v>3</v>
      </c>
      <c r="E55" s="4">
        <f>E49</f>
        <v>18315</v>
      </c>
      <c r="F55" s="4">
        <f t="shared" ref="F55:G55" si="14">F49</f>
        <v>16631.5</v>
      </c>
      <c r="G55" s="4">
        <f t="shared" si="14"/>
        <v>1683.4999999999989</v>
      </c>
    </row>
    <row r="56" spans="4:7" x14ac:dyDescent="0.25">
      <c r="E56" s="8">
        <f>SUM(E53:E55)</f>
        <v>31284</v>
      </c>
      <c r="F56" s="8">
        <f t="shared" ref="F56:G56" si="15">SUM(F53:F55)</f>
        <v>28408.400000000001</v>
      </c>
      <c r="G56" s="8">
        <f t="shared" si="15"/>
        <v>2875.5999999999981</v>
      </c>
    </row>
  </sheetData>
  <mergeCells count="3">
    <mergeCell ref="A1:I1"/>
    <mergeCell ref="A18:I18"/>
    <mergeCell ref="A35:I35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91D78-0203-41BE-8A30-E9DFEBFBDD0A}">
  <dimension ref="A1:I56"/>
  <sheetViews>
    <sheetView workbookViewId="0">
      <selection sqref="A1:I1"/>
    </sheetView>
  </sheetViews>
  <sheetFormatPr defaultRowHeight="15" x14ac:dyDescent="0.25"/>
  <cols>
    <col min="1" max="1" width="16.5703125" bestFit="1" customWidth="1"/>
    <col min="2" max="2" width="8.5703125" bestFit="1" customWidth="1"/>
    <col min="4" max="4" width="5.140625" bestFit="1" customWidth="1"/>
    <col min="5" max="5" width="14.7109375" bestFit="1" customWidth="1"/>
    <col min="6" max="6" width="14.28515625" bestFit="1" customWidth="1"/>
    <col min="7" max="7" width="14.85546875" bestFit="1" customWidth="1"/>
    <col min="9" max="9" width="9" bestFit="1" customWidth="1"/>
  </cols>
  <sheetData>
    <row r="1" spans="1:9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</row>
    <row r="2" spans="1:9" x14ac:dyDescent="0.25">
      <c r="A2" t="s">
        <v>14</v>
      </c>
      <c r="B2" s="1">
        <v>0.3</v>
      </c>
      <c r="D2" s="2" t="s">
        <v>2</v>
      </c>
      <c r="E2" s="2" t="s">
        <v>3</v>
      </c>
      <c r="F2" s="2" t="s">
        <v>4</v>
      </c>
      <c r="G2" s="2" t="s">
        <v>5</v>
      </c>
      <c r="I2" s="3" t="s">
        <v>6</v>
      </c>
    </row>
    <row r="3" spans="1:9" x14ac:dyDescent="0.25">
      <c r="A3" t="s">
        <v>15</v>
      </c>
      <c r="B3" s="1">
        <v>0.25</v>
      </c>
      <c r="C3" s="1"/>
      <c r="D3" s="2">
        <v>1</v>
      </c>
      <c r="E3" s="4">
        <f>$B$2*$B$7*$B$8*$B$9*$B$10*I3</f>
        <v>0</v>
      </c>
      <c r="F3" s="4">
        <f>$B$3*$B$7*$B$8*$B$9*$B$10*I3</f>
        <v>0</v>
      </c>
      <c r="G3" s="4">
        <f>E3-F3</f>
        <v>0</v>
      </c>
      <c r="I3" s="3">
        <v>0</v>
      </c>
    </row>
    <row r="4" spans="1:9" x14ac:dyDescent="0.25">
      <c r="A4" t="s">
        <v>16</v>
      </c>
      <c r="B4" s="1">
        <f>B2-B3</f>
        <v>4.9999999999999989E-2</v>
      </c>
      <c r="C4" s="1"/>
      <c r="D4" s="2">
        <v>2</v>
      </c>
      <c r="E4" s="4">
        <f t="shared" ref="E4:E14" si="0">$B$2*$B$7*$B$8*$B$9*$B$10*I4</f>
        <v>0</v>
      </c>
      <c r="F4" s="4">
        <f t="shared" ref="F4:F14" si="1">$B$3*$B$7*$B$8*$B$9*$B$10*I4</f>
        <v>0</v>
      </c>
      <c r="G4" s="4">
        <f t="shared" ref="G4:G14" si="2">E4-F4</f>
        <v>0</v>
      </c>
      <c r="I4" s="3">
        <v>0</v>
      </c>
    </row>
    <row r="5" spans="1:9" x14ac:dyDescent="0.25">
      <c r="A5" t="s">
        <v>9</v>
      </c>
      <c r="B5">
        <v>5</v>
      </c>
      <c r="D5" s="2">
        <v>3</v>
      </c>
      <c r="E5" s="4">
        <f t="shared" si="0"/>
        <v>324</v>
      </c>
      <c r="F5" s="4">
        <f t="shared" si="1"/>
        <v>270</v>
      </c>
      <c r="G5" s="4">
        <f t="shared" si="2"/>
        <v>54</v>
      </c>
      <c r="I5" s="3">
        <v>1</v>
      </c>
    </row>
    <row r="6" spans="1:9" x14ac:dyDescent="0.25">
      <c r="D6" s="2">
        <v>4</v>
      </c>
      <c r="E6" s="4">
        <f t="shared" si="0"/>
        <v>324</v>
      </c>
      <c r="F6" s="4">
        <f t="shared" si="1"/>
        <v>270</v>
      </c>
      <c r="G6" s="4">
        <f t="shared" si="2"/>
        <v>54</v>
      </c>
      <c r="I6" s="3">
        <v>1</v>
      </c>
    </row>
    <row r="7" spans="1:9" x14ac:dyDescent="0.25">
      <c r="A7" t="s">
        <v>17</v>
      </c>
      <c r="B7">
        <v>15</v>
      </c>
      <c r="D7" s="2">
        <v>5</v>
      </c>
      <c r="E7" s="4">
        <f t="shared" si="0"/>
        <v>648</v>
      </c>
      <c r="F7" s="4">
        <f t="shared" si="1"/>
        <v>540</v>
      </c>
      <c r="G7" s="4">
        <f t="shared" si="2"/>
        <v>108</v>
      </c>
      <c r="I7" s="3">
        <v>2</v>
      </c>
    </row>
    <row r="8" spans="1:9" x14ac:dyDescent="0.25">
      <c r="A8" t="s">
        <v>18</v>
      </c>
      <c r="B8">
        <v>2</v>
      </c>
      <c r="D8" s="2">
        <v>6</v>
      </c>
      <c r="E8" s="4">
        <f t="shared" si="0"/>
        <v>648</v>
      </c>
      <c r="F8" s="4">
        <f t="shared" si="1"/>
        <v>540</v>
      </c>
      <c r="G8" s="4">
        <f t="shared" si="2"/>
        <v>108</v>
      </c>
      <c r="I8" s="3">
        <v>2</v>
      </c>
    </row>
    <row r="9" spans="1:9" x14ac:dyDescent="0.25">
      <c r="A9" t="s">
        <v>19</v>
      </c>
      <c r="B9">
        <v>2</v>
      </c>
      <c r="D9" s="2">
        <v>7</v>
      </c>
      <c r="E9" s="4">
        <f t="shared" si="0"/>
        <v>972</v>
      </c>
      <c r="F9" s="4">
        <f t="shared" si="1"/>
        <v>810</v>
      </c>
      <c r="G9" s="4">
        <f t="shared" si="2"/>
        <v>162</v>
      </c>
      <c r="I9" s="3">
        <v>3</v>
      </c>
    </row>
    <row r="10" spans="1:9" x14ac:dyDescent="0.25">
      <c r="A10" t="s">
        <v>20</v>
      </c>
      <c r="B10">
        <v>18</v>
      </c>
      <c r="D10" s="2">
        <v>8</v>
      </c>
      <c r="E10" s="4">
        <f t="shared" si="0"/>
        <v>972</v>
      </c>
      <c r="F10" s="4">
        <f t="shared" si="1"/>
        <v>810</v>
      </c>
      <c r="G10" s="4">
        <f t="shared" si="2"/>
        <v>162</v>
      </c>
      <c r="I10" s="3">
        <v>3</v>
      </c>
    </row>
    <row r="11" spans="1:9" x14ac:dyDescent="0.25">
      <c r="D11" s="2">
        <v>9</v>
      </c>
      <c r="E11" s="4">
        <f t="shared" si="0"/>
        <v>1296</v>
      </c>
      <c r="F11" s="4">
        <f t="shared" si="1"/>
        <v>1080</v>
      </c>
      <c r="G11" s="4">
        <f t="shared" si="2"/>
        <v>216</v>
      </c>
      <c r="I11" s="3">
        <v>4</v>
      </c>
    </row>
    <row r="12" spans="1:9" x14ac:dyDescent="0.25">
      <c r="D12" s="2">
        <v>10</v>
      </c>
      <c r="E12" s="4">
        <f t="shared" si="0"/>
        <v>1296</v>
      </c>
      <c r="F12" s="4">
        <f t="shared" si="1"/>
        <v>1080</v>
      </c>
      <c r="G12" s="4">
        <f t="shared" si="2"/>
        <v>216</v>
      </c>
      <c r="I12" s="3">
        <v>4</v>
      </c>
    </row>
    <row r="13" spans="1:9" x14ac:dyDescent="0.25">
      <c r="D13" s="2">
        <v>11</v>
      </c>
      <c r="E13" s="4">
        <f t="shared" si="0"/>
        <v>1620</v>
      </c>
      <c r="F13" s="4">
        <f t="shared" si="1"/>
        <v>1350</v>
      </c>
      <c r="G13" s="4">
        <f t="shared" si="2"/>
        <v>270</v>
      </c>
      <c r="I13" s="3">
        <v>5</v>
      </c>
    </row>
    <row r="14" spans="1:9" x14ac:dyDescent="0.25">
      <c r="D14" s="2">
        <v>12</v>
      </c>
      <c r="E14" s="4">
        <f t="shared" si="0"/>
        <v>1620</v>
      </c>
      <c r="F14" s="4">
        <f t="shared" si="1"/>
        <v>1350</v>
      </c>
      <c r="G14" s="4">
        <f t="shared" si="2"/>
        <v>270</v>
      </c>
      <c r="I14" s="3">
        <v>5</v>
      </c>
    </row>
    <row r="15" spans="1:9" x14ac:dyDescent="0.25">
      <c r="E15" s="5">
        <f t="shared" ref="E15:G15" si="3">SUM(E3:E14)</f>
        <v>9720</v>
      </c>
      <c r="F15" s="5">
        <f t="shared" si="3"/>
        <v>8100</v>
      </c>
      <c r="G15" s="5">
        <f t="shared" si="3"/>
        <v>1620</v>
      </c>
    </row>
    <row r="18" spans="1:9" x14ac:dyDescent="0.25">
      <c r="A18" s="12" t="s">
        <v>12</v>
      </c>
      <c r="B18" s="12"/>
      <c r="C18" s="12"/>
      <c r="D18" s="12"/>
      <c r="E18" s="12"/>
      <c r="F18" s="12"/>
      <c r="G18" s="12"/>
      <c r="H18" s="12"/>
      <c r="I18" s="12"/>
    </row>
    <row r="19" spans="1:9" x14ac:dyDescent="0.25">
      <c r="A19" t="s">
        <v>14</v>
      </c>
      <c r="B19" s="1">
        <v>0.3</v>
      </c>
      <c r="D19" s="2" t="s">
        <v>2</v>
      </c>
      <c r="E19" s="2" t="s">
        <v>3</v>
      </c>
      <c r="F19" s="2" t="s">
        <v>4</v>
      </c>
      <c r="G19" s="2" t="s">
        <v>5</v>
      </c>
      <c r="I19" s="3" t="s">
        <v>6</v>
      </c>
    </row>
    <row r="20" spans="1:9" x14ac:dyDescent="0.25">
      <c r="A20" t="s">
        <v>15</v>
      </c>
      <c r="B20" s="1">
        <v>0.25</v>
      </c>
      <c r="C20" s="1"/>
      <c r="D20" s="2">
        <v>1</v>
      </c>
      <c r="E20" s="4">
        <f>$B$2*$B$7*$B$8*$B$9*$B$10*I20</f>
        <v>1620</v>
      </c>
      <c r="F20" s="4">
        <f>$B$3*$B$7*$B$8*$B$9*$B$10*I20</f>
        <v>1350</v>
      </c>
      <c r="G20" s="4">
        <f>E20-F20</f>
        <v>270</v>
      </c>
      <c r="I20" s="3">
        <v>5</v>
      </c>
    </row>
    <row r="21" spans="1:9" x14ac:dyDescent="0.25">
      <c r="A21" t="s">
        <v>16</v>
      </c>
      <c r="B21" s="1">
        <f>B19-B20</f>
        <v>4.9999999999999989E-2</v>
      </c>
      <c r="C21" s="1"/>
      <c r="D21" s="2">
        <v>2</v>
      </c>
      <c r="E21" s="4">
        <f t="shared" ref="E21:E31" si="4">$B$2*$B$7*$B$8*$B$9*$B$10*I21</f>
        <v>1944</v>
      </c>
      <c r="F21" s="4">
        <f t="shared" ref="F21:F31" si="5">$B$3*$B$7*$B$8*$B$9*$B$10*I21</f>
        <v>1620</v>
      </c>
      <c r="G21" s="4">
        <f t="shared" ref="G21:G31" si="6">E21-F21</f>
        <v>324</v>
      </c>
      <c r="I21" s="3">
        <v>6</v>
      </c>
    </row>
    <row r="22" spans="1:9" x14ac:dyDescent="0.25">
      <c r="A22" t="s">
        <v>9</v>
      </c>
      <c r="B22">
        <v>5</v>
      </c>
      <c r="D22" s="2">
        <v>3</v>
      </c>
      <c r="E22" s="4">
        <f t="shared" si="4"/>
        <v>2268</v>
      </c>
      <c r="F22" s="4">
        <f t="shared" si="5"/>
        <v>1890</v>
      </c>
      <c r="G22" s="4">
        <f t="shared" si="6"/>
        <v>378</v>
      </c>
      <c r="I22" s="3">
        <v>7</v>
      </c>
    </row>
    <row r="23" spans="1:9" x14ac:dyDescent="0.25">
      <c r="D23" s="2">
        <v>4</v>
      </c>
      <c r="E23" s="4">
        <f t="shared" si="4"/>
        <v>2268</v>
      </c>
      <c r="F23" s="4">
        <f t="shared" si="5"/>
        <v>1890</v>
      </c>
      <c r="G23" s="4">
        <f t="shared" si="6"/>
        <v>378</v>
      </c>
      <c r="I23" s="3">
        <v>7</v>
      </c>
    </row>
    <row r="24" spans="1:9" x14ac:dyDescent="0.25">
      <c r="A24" t="s">
        <v>17</v>
      </c>
      <c r="B24">
        <v>15</v>
      </c>
      <c r="D24" s="2">
        <v>5</v>
      </c>
      <c r="E24" s="4">
        <f t="shared" si="4"/>
        <v>2592</v>
      </c>
      <c r="F24" s="4">
        <f t="shared" si="5"/>
        <v>2160</v>
      </c>
      <c r="G24" s="4">
        <f t="shared" si="6"/>
        <v>432</v>
      </c>
      <c r="I24" s="3">
        <v>8</v>
      </c>
    </row>
    <row r="25" spans="1:9" x14ac:dyDescent="0.25">
      <c r="A25" t="s">
        <v>18</v>
      </c>
      <c r="B25">
        <v>2</v>
      </c>
      <c r="D25" s="2">
        <v>6</v>
      </c>
      <c r="E25" s="4">
        <f t="shared" si="4"/>
        <v>2592</v>
      </c>
      <c r="F25" s="4">
        <f t="shared" si="5"/>
        <v>2160</v>
      </c>
      <c r="G25" s="4">
        <f t="shared" si="6"/>
        <v>432</v>
      </c>
      <c r="I25" s="3">
        <v>8</v>
      </c>
    </row>
    <row r="26" spans="1:9" x14ac:dyDescent="0.25">
      <c r="A26" t="s">
        <v>19</v>
      </c>
      <c r="B26">
        <v>2</v>
      </c>
      <c r="D26" s="2">
        <v>7</v>
      </c>
      <c r="E26" s="4">
        <f t="shared" si="4"/>
        <v>2916</v>
      </c>
      <c r="F26" s="4">
        <f t="shared" si="5"/>
        <v>2430</v>
      </c>
      <c r="G26" s="4">
        <f t="shared" si="6"/>
        <v>486</v>
      </c>
      <c r="I26" s="3">
        <v>9</v>
      </c>
    </row>
    <row r="27" spans="1:9" x14ac:dyDescent="0.25">
      <c r="A27" t="s">
        <v>20</v>
      </c>
      <c r="B27">
        <v>18</v>
      </c>
      <c r="D27" s="2">
        <v>8</v>
      </c>
      <c r="E27" s="4">
        <f t="shared" si="4"/>
        <v>2916</v>
      </c>
      <c r="F27" s="4">
        <f t="shared" si="5"/>
        <v>2430</v>
      </c>
      <c r="G27" s="4">
        <f t="shared" si="6"/>
        <v>486</v>
      </c>
      <c r="I27" s="3">
        <v>9</v>
      </c>
    </row>
    <row r="28" spans="1:9" x14ac:dyDescent="0.25">
      <c r="D28" s="2">
        <v>9</v>
      </c>
      <c r="E28" s="4">
        <f t="shared" si="4"/>
        <v>3240</v>
      </c>
      <c r="F28" s="4">
        <f t="shared" si="5"/>
        <v>2700</v>
      </c>
      <c r="G28" s="4">
        <f t="shared" si="6"/>
        <v>540</v>
      </c>
      <c r="I28" s="3">
        <v>10</v>
      </c>
    </row>
    <row r="29" spans="1:9" x14ac:dyDescent="0.25">
      <c r="D29" s="2">
        <v>10</v>
      </c>
      <c r="E29" s="4">
        <f t="shared" si="4"/>
        <v>3240</v>
      </c>
      <c r="F29" s="4">
        <f t="shared" si="5"/>
        <v>2700</v>
      </c>
      <c r="G29" s="4">
        <f t="shared" si="6"/>
        <v>540</v>
      </c>
      <c r="I29" s="3">
        <v>10</v>
      </c>
    </row>
    <row r="30" spans="1:9" x14ac:dyDescent="0.25">
      <c r="D30" s="2">
        <v>11</v>
      </c>
      <c r="E30" s="4">
        <f t="shared" si="4"/>
        <v>3564</v>
      </c>
      <c r="F30" s="4">
        <f t="shared" si="5"/>
        <v>2970</v>
      </c>
      <c r="G30" s="4">
        <f t="shared" si="6"/>
        <v>594</v>
      </c>
      <c r="I30" s="3">
        <v>11</v>
      </c>
    </row>
    <row r="31" spans="1:9" x14ac:dyDescent="0.25">
      <c r="D31" s="2">
        <v>12</v>
      </c>
      <c r="E31" s="4">
        <f t="shared" si="4"/>
        <v>3564</v>
      </c>
      <c r="F31" s="4">
        <f t="shared" si="5"/>
        <v>2970</v>
      </c>
      <c r="G31" s="4">
        <f t="shared" si="6"/>
        <v>594</v>
      </c>
      <c r="I31" s="3">
        <v>11</v>
      </c>
    </row>
    <row r="32" spans="1:9" x14ac:dyDescent="0.25">
      <c r="E32" s="5">
        <f t="shared" ref="E32:G32" si="7">SUM(E20:E31)</f>
        <v>32724</v>
      </c>
      <c r="F32" s="5">
        <f t="shared" si="7"/>
        <v>27270</v>
      </c>
      <c r="G32" s="5">
        <f t="shared" si="7"/>
        <v>5454</v>
      </c>
    </row>
    <row r="35" spans="1:9" x14ac:dyDescent="0.25">
      <c r="A35" s="12" t="s">
        <v>13</v>
      </c>
      <c r="B35" s="12"/>
      <c r="C35" s="12"/>
      <c r="D35" s="12"/>
      <c r="E35" s="12"/>
      <c r="F35" s="12"/>
      <c r="G35" s="12"/>
      <c r="H35" s="12"/>
      <c r="I35" s="12"/>
    </row>
    <row r="36" spans="1:9" x14ac:dyDescent="0.25">
      <c r="A36" t="s">
        <v>14</v>
      </c>
      <c r="B36" s="1">
        <v>0.3</v>
      </c>
      <c r="D36" s="2" t="s">
        <v>2</v>
      </c>
      <c r="E36" s="2" t="s">
        <v>3</v>
      </c>
      <c r="F36" s="2" t="s">
        <v>4</v>
      </c>
      <c r="G36" s="2" t="s">
        <v>5</v>
      </c>
      <c r="I36" s="3" t="s">
        <v>6</v>
      </c>
    </row>
    <row r="37" spans="1:9" x14ac:dyDescent="0.25">
      <c r="A37" t="s">
        <v>15</v>
      </c>
      <c r="B37" s="1">
        <v>0.25</v>
      </c>
      <c r="C37" s="1"/>
      <c r="D37" s="2">
        <v>1</v>
      </c>
      <c r="E37" s="4">
        <f>$B$2*$B$7*$B$8*$B$9*$B$10*I37</f>
        <v>3888</v>
      </c>
      <c r="F37" s="4">
        <f>$B$3*$B$7*$B$8*$B$9*$B$10*I37</f>
        <v>3240</v>
      </c>
      <c r="G37" s="4">
        <f>E37-F37</f>
        <v>648</v>
      </c>
      <c r="I37" s="3">
        <v>12</v>
      </c>
    </row>
    <row r="38" spans="1:9" x14ac:dyDescent="0.25">
      <c r="A38" t="s">
        <v>16</v>
      </c>
      <c r="B38" s="1">
        <f>B36-B37</f>
        <v>4.9999999999999989E-2</v>
      </c>
      <c r="C38" s="1"/>
      <c r="D38" s="2">
        <v>2</v>
      </c>
      <c r="E38" s="4">
        <f t="shared" ref="E38:E48" si="8">$B$2*$B$7*$B$8*$B$9*$B$10*I38</f>
        <v>4212</v>
      </c>
      <c r="F38" s="4">
        <f t="shared" ref="F38:F48" si="9">$B$3*$B$7*$B$8*$B$9*$B$10*I38</f>
        <v>3510</v>
      </c>
      <c r="G38" s="4">
        <f t="shared" ref="G38:G48" si="10">E38-F38</f>
        <v>702</v>
      </c>
      <c r="I38" s="3">
        <v>13</v>
      </c>
    </row>
    <row r="39" spans="1:9" x14ac:dyDescent="0.25">
      <c r="A39" t="s">
        <v>9</v>
      </c>
      <c r="B39">
        <v>5</v>
      </c>
      <c r="D39" s="2">
        <v>3</v>
      </c>
      <c r="E39" s="4">
        <f t="shared" si="8"/>
        <v>4536</v>
      </c>
      <c r="F39" s="4">
        <f t="shared" si="9"/>
        <v>3780</v>
      </c>
      <c r="G39" s="4">
        <f t="shared" si="10"/>
        <v>756</v>
      </c>
      <c r="I39" s="3">
        <v>14</v>
      </c>
    </row>
    <row r="40" spans="1:9" x14ac:dyDescent="0.25">
      <c r="D40" s="2">
        <v>4</v>
      </c>
      <c r="E40" s="4">
        <f t="shared" si="8"/>
        <v>4536</v>
      </c>
      <c r="F40" s="4">
        <f t="shared" si="9"/>
        <v>3780</v>
      </c>
      <c r="G40" s="4">
        <f t="shared" si="10"/>
        <v>756</v>
      </c>
      <c r="I40" s="3">
        <v>14</v>
      </c>
    </row>
    <row r="41" spans="1:9" x14ac:dyDescent="0.25">
      <c r="A41" t="s">
        <v>17</v>
      </c>
      <c r="B41">
        <v>15</v>
      </c>
      <c r="D41" s="2">
        <v>5</v>
      </c>
      <c r="E41" s="4">
        <f t="shared" si="8"/>
        <v>4860</v>
      </c>
      <c r="F41" s="4">
        <f t="shared" si="9"/>
        <v>4050</v>
      </c>
      <c r="G41" s="4">
        <f t="shared" si="10"/>
        <v>810</v>
      </c>
      <c r="I41" s="3">
        <v>15</v>
      </c>
    </row>
    <row r="42" spans="1:9" x14ac:dyDescent="0.25">
      <c r="A42" t="s">
        <v>18</v>
      </c>
      <c r="B42">
        <v>2</v>
      </c>
      <c r="D42" s="2">
        <v>6</v>
      </c>
      <c r="E42" s="4">
        <f t="shared" si="8"/>
        <v>4860</v>
      </c>
      <c r="F42" s="4">
        <f t="shared" si="9"/>
        <v>4050</v>
      </c>
      <c r="G42" s="4">
        <f t="shared" si="10"/>
        <v>810</v>
      </c>
      <c r="I42" s="3">
        <v>15</v>
      </c>
    </row>
    <row r="43" spans="1:9" x14ac:dyDescent="0.25">
      <c r="A43" t="s">
        <v>19</v>
      </c>
      <c r="B43">
        <v>2</v>
      </c>
      <c r="D43" s="2">
        <v>7</v>
      </c>
      <c r="E43" s="4">
        <f t="shared" si="8"/>
        <v>5184</v>
      </c>
      <c r="F43" s="4">
        <f t="shared" si="9"/>
        <v>4320</v>
      </c>
      <c r="G43" s="4">
        <f t="shared" si="10"/>
        <v>864</v>
      </c>
      <c r="I43" s="3">
        <v>16</v>
      </c>
    </row>
    <row r="44" spans="1:9" x14ac:dyDescent="0.25">
      <c r="A44" t="s">
        <v>20</v>
      </c>
      <c r="B44">
        <v>18</v>
      </c>
      <c r="D44" s="2">
        <v>8</v>
      </c>
      <c r="E44" s="4">
        <f t="shared" si="8"/>
        <v>5184</v>
      </c>
      <c r="F44" s="4">
        <f t="shared" si="9"/>
        <v>4320</v>
      </c>
      <c r="G44" s="4">
        <f t="shared" si="10"/>
        <v>864</v>
      </c>
      <c r="I44" s="3">
        <v>16</v>
      </c>
    </row>
    <row r="45" spans="1:9" x14ac:dyDescent="0.25">
      <c r="D45" s="2">
        <v>9</v>
      </c>
      <c r="E45" s="4">
        <f t="shared" si="8"/>
        <v>5508</v>
      </c>
      <c r="F45" s="4">
        <f t="shared" si="9"/>
        <v>4590</v>
      </c>
      <c r="G45" s="4">
        <f t="shared" si="10"/>
        <v>918</v>
      </c>
      <c r="I45" s="3">
        <v>17</v>
      </c>
    </row>
    <row r="46" spans="1:9" x14ac:dyDescent="0.25">
      <c r="D46" s="2">
        <v>10</v>
      </c>
      <c r="E46" s="4">
        <f t="shared" si="8"/>
        <v>5508</v>
      </c>
      <c r="F46" s="4">
        <f t="shared" si="9"/>
        <v>4590</v>
      </c>
      <c r="G46" s="4">
        <f t="shared" si="10"/>
        <v>918</v>
      </c>
      <c r="I46" s="3">
        <v>17</v>
      </c>
    </row>
    <row r="47" spans="1:9" x14ac:dyDescent="0.25">
      <c r="D47" s="2">
        <v>11</v>
      </c>
      <c r="E47" s="4">
        <f t="shared" si="8"/>
        <v>5832</v>
      </c>
      <c r="F47" s="4">
        <f t="shared" si="9"/>
        <v>4860</v>
      </c>
      <c r="G47" s="4">
        <f t="shared" si="10"/>
        <v>972</v>
      </c>
      <c r="I47" s="3">
        <v>18</v>
      </c>
    </row>
    <row r="48" spans="1:9" x14ac:dyDescent="0.25">
      <c r="D48" s="2">
        <v>12</v>
      </c>
      <c r="E48" s="4">
        <f t="shared" si="8"/>
        <v>5832</v>
      </c>
      <c r="F48" s="4">
        <f t="shared" si="9"/>
        <v>4860</v>
      </c>
      <c r="G48" s="4">
        <f t="shared" si="10"/>
        <v>972</v>
      </c>
      <c r="I48" s="3">
        <v>18</v>
      </c>
    </row>
    <row r="49" spans="4:7" x14ac:dyDescent="0.25">
      <c r="E49" s="5">
        <f t="shared" ref="E49:G49" si="11">SUM(E37:E48)</f>
        <v>59940</v>
      </c>
      <c r="F49" s="5">
        <f t="shared" si="11"/>
        <v>49950</v>
      </c>
      <c r="G49" s="5">
        <f t="shared" si="11"/>
        <v>9990</v>
      </c>
    </row>
    <row r="52" spans="4:7" x14ac:dyDescent="0.25">
      <c r="D52" s="2" t="s">
        <v>31</v>
      </c>
      <c r="E52" s="2" t="s">
        <v>3</v>
      </c>
      <c r="F52" s="2" t="s">
        <v>4</v>
      </c>
      <c r="G52" s="2" t="s">
        <v>5</v>
      </c>
    </row>
    <row r="53" spans="4:7" x14ac:dyDescent="0.25">
      <c r="D53" s="2">
        <v>1</v>
      </c>
      <c r="E53" s="4">
        <f>E15</f>
        <v>9720</v>
      </c>
      <c r="F53" s="4">
        <f t="shared" ref="F53:G53" si="12">F15</f>
        <v>8100</v>
      </c>
      <c r="G53" s="4">
        <f t="shared" si="12"/>
        <v>1620</v>
      </c>
    </row>
    <row r="54" spans="4:7" x14ac:dyDescent="0.25">
      <c r="D54" s="2">
        <v>2</v>
      </c>
      <c r="E54" s="4">
        <f>E32</f>
        <v>32724</v>
      </c>
      <c r="F54" s="4">
        <f t="shared" ref="F54:G54" si="13">F32</f>
        <v>27270</v>
      </c>
      <c r="G54" s="4">
        <f t="shared" si="13"/>
        <v>5454</v>
      </c>
    </row>
    <row r="55" spans="4:7" x14ac:dyDescent="0.25">
      <c r="D55" s="2">
        <v>3</v>
      </c>
      <c r="E55" s="4">
        <f>E49</f>
        <v>59940</v>
      </c>
      <c r="F55" s="4">
        <f t="shared" ref="F55:G55" si="14">F49</f>
        <v>49950</v>
      </c>
      <c r="G55" s="4">
        <f t="shared" si="14"/>
        <v>9990</v>
      </c>
    </row>
    <row r="56" spans="4:7" x14ac:dyDescent="0.25">
      <c r="E56" s="9">
        <f>SUM(E53:E55)</f>
        <v>102384</v>
      </c>
      <c r="F56" s="9">
        <f t="shared" ref="F56:G56" si="15">SUM(F53:F55)</f>
        <v>85320</v>
      </c>
      <c r="G56" s="9">
        <f t="shared" si="15"/>
        <v>17064</v>
      </c>
    </row>
  </sheetData>
  <mergeCells count="3">
    <mergeCell ref="A1:I1"/>
    <mergeCell ref="A18:I18"/>
    <mergeCell ref="A35:I35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5C45C-C187-4F6D-B3D2-8CCD1EC3AB6B}">
  <dimension ref="A1:I56"/>
  <sheetViews>
    <sheetView workbookViewId="0">
      <selection sqref="A1:I1"/>
    </sheetView>
  </sheetViews>
  <sheetFormatPr defaultRowHeight="15" x14ac:dyDescent="0.25"/>
  <cols>
    <col min="1" max="1" width="18.140625" bestFit="1" customWidth="1"/>
    <col min="2" max="2" width="12.140625" bestFit="1" customWidth="1"/>
    <col min="4" max="4" width="5.140625" bestFit="1" customWidth="1"/>
    <col min="5" max="5" width="14.7109375" bestFit="1" customWidth="1"/>
    <col min="6" max="6" width="14.28515625" bestFit="1" customWidth="1"/>
    <col min="7" max="7" width="14.85546875" bestFit="1" customWidth="1"/>
    <col min="9" max="9" width="9" bestFit="1" customWidth="1"/>
  </cols>
  <sheetData>
    <row r="1" spans="1:9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</row>
    <row r="2" spans="1:9" x14ac:dyDescent="0.25">
      <c r="A2" t="s">
        <v>23</v>
      </c>
      <c r="B2" s="1">
        <v>1320</v>
      </c>
      <c r="D2" s="2" t="s">
        <v>2</v>
      </c>
      <c r="E2" s="2" t="s">
        <v>3</v>
      </c>
      <c r="F2" s="2" t="s">
        <v>4</v>
      </c>
      <c r="G2" s="2" t="s">
        <v>5</v>
      </c>
      <c r="I2" s="3" t="s">
        <v>6</v>
      </c>
    </row>
    <row r="3" spans="1:9" x14ac:dyDescent="0.25">
      <c r="A3" t="s">
        <v>21</v>
      </c>
      <c r="B3" s="1">
        <f>B2*0.2</f>
        <v>264</v>
      </c>
      <c r="C3" s="1"/>
      <c r="D3" s="2">
        <v>1</v>
      </c>
      <c r="E3" s="4">
        <f>$B$2*I3</f>
        <v>0</v>
      </c>
      <c r="F3" s="4">
        <f>($B$3+$B$7)*I3</f>
        <v>0</v>
      </c>
      <c r="G3" s="4">
        <f>E3-F3</f>
        <v>0</v>
      </c>
      <c r="I3" s="3">
        <v>0</v>
      </c>
    </row>
    <row r="4" spans="1:9" x14ac:dyDescent="0.25">
      <c r="A4" t="s">
        <v>22</v>
      </c>
      <c r="B4" s="6">
        <f>B2-B3</f>
        <v>1056</v>
      </c>
      <c r="C4" s="1"/>
      <c r="D4" s="2">
        <v>2</v>
      </c>
      <c r="E4" s="4">
        <f>$B$2*I4</f>
        <v>0</v>
      </c>
      <c r="F4" s="4">
        <f t="shared" ref="F4:F14" si="0">($B$3+$B$7)*I4</f>
        <v>0</v>
      </c>
      <c r="G4" s="4">
        <f t="shared" ref="G4:G14" si="1">E4-F4</f>
        <v>0</v>
      </c>
      <c r="I4" s="3">
        <v>0</v>
      </c>
    </row>
    <row r="5" spans="1:9" x14ac:dyDescent="0.25">
      <c r="A5" t="s">
        <v>9</v>
      </c>
      <c r="B5">
        <v>5</v>
      </c>
      <c r="D5" s="2">
        <v>3</v>
      </c>
      <c r="E5" s="4">
        <f t="shared" ref="E5:E13" si="2">$B$2*I5</f>
        <v>1320</v>
      </c>
      <c r="F5" s="4">
        <f t="shared" si="0"/>
        <v>1214.4000000000001</v>
      </c>
      <c r="G5" s="4">
        <f t="shared" si="1"/>
        <v>105.59999999999991</v>
      </c>
      <c r="I5" s="3">
        <v>1</v>
      </c>
    </row>
    <row r="6" spans="1:9" x14ac:dyDescent="0.25">
      <c r="D6" s="2">
        <v>4</v>
      </c>
      <c r="E6" s="4">
        <f t="shared" si="2"/>
        <v>1320</v>
      </c>
      <c r="F6" s="4">
        <f t="shared" si="0"/>
        <v>1214.4000000000001</v>
      </c>
      <c r="G6" s="4">
        <f t="shared" si="1"/>
        <v>105.59999999999991</v>
      </c>
      <c r="I6" s="3">
        <v>1</v>
      </c>
    </row>
    <row r="7" spans="1:9" x14ac:dyDescent="0.25">
      <c r="A7" t="s">
        <v>24</v>
      </c>
      <c r="B7" s="6">
        <f>B4*0.9</f>
        <v>950.4</v>
      </c>
      <c r="D7" s="2">
        <v>5</v>
      </c>
      <c r="E7" s="4">
        <f t="shared" si="2"/>
        <v>2640</v>
      </c>
      <c r="F7" s="4">
        <f t="shared" si="0"/>
        <v>2428.8000000000002</v>
      </c>
      <c r="G7" s="4">
        <f t="shared" si="1"/>
        <v>211.19999999999982</v>
      </c>
      <c r="I7" s="3">
        <v>2</v>
      </c>
    </row>
    <row r="8" spans="1:9" x14ac:dyDescent="0.25">
      <c r="A8" t="s">
        <v>25</v>
      </c>
      <c r="B8" s="6">
        <f>B4*0.1</f>
        <v>105.60000000000001</v>
      </c>
      <c r="D8" s="2">
        <v>6</v>
      </c>
      <c r="E8" s="4">
        <f t="shared" si="2"/>
        <v>2640</v>
      </c>
      <c r="F8" s="4">
        <f t="shared" si="0"/>
        <v>2428.8000000000002</v>
      </c>
      <c r="G8" s="4">
        <f t="shared" si="1"/>
        <v>211.19999999999982</v>
      </c>
      <c r="I8" s="3">
        <v>2</v>
      </c>
    </row>
    <row r="9" spans="1:9" x14ac:dyDescent="0.25">
      <c r="D9" s="2">
        <v>7</v>
      </c>
      <c r="E9" s="4">
        <f>$B$2*I9</f>
        <v>3960</v>
      </c>
      <c r="F9" s="4">
        <f t="shared" si="0"/>
        <v>3643.2000000000003</v>
      </c>
      <c r="G9" s="4">
        <f t="shared" si="1"/>
        <v>316.79999999999973</v>
      </c>
      <c r="I9" s="3">
        <v>3</v>
      </c>
    </row>
    <row r="10" spans="1:9" x14ac:dyDescent="0.25">
      <c r="D10" s="2">
        <v>8</v>
      </c>
      <c r="E10" s="4">
        <f t="shared" si="2"/>
        <v>3960</v>
      </c>
      <c r="F10" s="4">
        <f t="shared" si="0"/>
        <v>3643.2000000000003</v>
      </c>
      <c r="G10" s="4">
        <f t="shared" si="1"/>
        <v>316.79999999999973</v>
      </c>
      <c r="I10" s="3">
        <v>3</v>
      </c>
    </row>
    <row r="11" spans="1:9" x14ac:dyDescent="0.25">
      <c r="D11" s="2">
        <v>9</v>
      </c>
      <c r="E11" s="4">
        <f t="shared" si="2"/>
        <v>5280</v>
      </c>
      <c r="F11" s="4">
        <f t="shared" si="0"/>
        <v>4857.6000000000004</v>
      </c>
      <c r="G11" s="4">
        <f t="shared" si="1"/>
        <v>422.39999999999964</v>
      </c>
      <c r="I11" s="3">
        <v>4</v>
      </c>
    </row>
    <row r="12" spans="1:9" x14ac:dyDescent="0.25">
      <c r="D12" s="2">
        <v>10</v>
      </c>
      <c r="E12" s="4">
        <f t="shared" si="2"/>
        <v>5280</v>
      </c>
      <c r="F12" s="4">
        <f t="shared" si="0"/>
        <v>4857.6000000000004</v>
      </c>
      <c r="G12" s="4">
        <f t="shared" si="1"/>
        <v>422.39999999999964</v>
      </c>
      <c r="I12" s="3">
        <v>4</v>
      </c>
    </row>
    <row r="13" spans="1:9" x14ac:dyDescent="0.25">
      <c r="D13" s="2">
        <v>11</v>
      </c>
      <c r="E13" s="4">
        <f t="shared" si="2"/>
        <v>6600</v>
      </c>
      <c r="F13" s="4">
        <f t="shared" si="0"/>
        <v>6072</v>
      </c>
      <c r="G13" s="4">
        <f t="shared" si="1"/>
        <v>528</v>
      </c>
      <c r="I13" s="3">
        <v>5</v>
      </c>
    </row>
    <row r="14" spans="1:9" x14ac:dyDescent="0.25">
      <c r="D14" s="2">
        <v>12</v>
      </c>
      <c r="E14" s="4">
        <f>$B$2*I14</f>
        <v>6600</v>
      </c>
      <c r="F14" s="4">
        <f t="shared" si="0"/>
        <v>6072</v>
      </c>
      <c r="G14" s="4">
        <f t="shared" si="1"/>
        <v>528</v>
      </c>
      <c r="I14" s="3">
        <v>5</v>
      </c>
    </row>
    <row r="15" spans="1:9" x14ac:dyDescent="0.25">
      <c r="E15" s="5">
        <f t="shared" ref="E15:G15" si="3">SUM(E3:E14)</f>
        <v>39600</v>
      </c>
      <c r="F15" s="5">
        <f t="shared" si="3"/>
        <v>36432</v>
      </c>
      <c r="G15" s="5">
        <f t="shared" si="3"/>
        <v>3167.9999999999982</v>
      </c>
    </row>
    <row r="18" spans="1:9" x14ac:dyDescent="0.25">
      <c r="A18" s="12" t="s">
        <v>12</v>
      </c>
      <c r="B18" s="12"/>
      <c r="C18" s="12"/>
      <c r="D18" s="12"/>
      <c r="E18" s="12"/>
      <c r="F18" s="12"/>
      <c r="G18" s="12"/>
      <c r="H18" s="12"/>
      <c r="I18" s="12"/>
    </row>
    <row r="19" spans="1:9" x14ac:dyDescent="0.25">
      <c r="A19" t="s">
        <v>23</v>
      </c>
      <c r="B19" s="1">
        <v>1320</v>
      </c>
      <c r="D19" s="2" t="s">
        <v>2</v>
      </c>
      <c r="E19" s="2" t="s">
        <v>3</v>
      </c>
      <c r="F19" s="2" t="s">
        <v>4</v>
      </c>
      <c r="G19" s="2" t="s">
        <v>5</v>
      </c>
      <c r="I19" s="3" t="s">
        <v>6</v>
      </c>
    </row>
    <row r="20" spans="1:9" x14ac:dyDescent="0.25">
      <c r="A20" t="s">
        <v>21</v>
      </c>
      <c r="B20" s="1">
        <f>B19*0.2</f>
        <v>264</v>
      </c>
      <c r="C20" s="1"/>
      <c r="D20" s="2">
        <v>1</v>
      </c>
      <c r="E20" s="4">
        <f>$B$19*I20</f>
        <v>6600</v>
      </c>
      <c r="F20" s="4">
        <f>($B$20+$B$24)*I20</f>
        <v>6072</v>
      </c>
      <c r="G20" s="4">
        <f>E20-F20</f>
        <v>528</v>
      </c>
      <c r="I20" s="3">
        <v>5</v>
      </c>
    </row>
    <row r="21" spans="1:9" x14ac:dyDescent="0.25">
      <c r="A21" t="s">
        <v>22</v>
      </c>
      <c r="B21" s="6">
        <f>B19-B20</f>
        <v>1056</v>
      </c>
      <c r="C21" s="1"/>
      <c r="D21" s="2">
        <v>2</v>
      </c>
      <c r="E21" s="4">
        <f>$B$19*I21</f>
        <v>7920</v>
      </c>
      <c r="F21" s="4">
        <f t="shared" ref="F21:F31" si="4">($B$20+$B$24)*I21</f>
        <v>7286.4000000000005</v>
      </c>
      <c r="G21" s="4">
        <f t="shared" ref="G21:G31" si="5">E21-F21</f>
        <v>633.59999999999945</v>
      </c>
      <c r="I21" s="3">
        <v>6</v>
      </c>
    </row>
    <row r="22" spans="1:9" x14ac:dyDescent="0.25">
      <c r="A22" t="s">
        <v>9</v>
      </c>
      <c r="B22">
        <v>11</v>
      </c>
      <c r="D22" s="2">
        <v>3</v>
      </c>
      <c r="E22" s="4">
        <f t="shared" ref="E22:E31" si="6">$B$19*I22</f>
        <v>9240</v>
      </c>
      <c r="F22" s="4">
        <f t="shared" si="4"/>
        <v>8500.8000000000011</v>
      </c>
      <c r="G22" s="4">
        <f t="shared" si="5"/>
        <v>739.19999999999891</v>
      </c>
      <c r="I22" s="3">
        <v>7</v>
      </c>
    </row>
    <row r="23" spans="1:9" x14ac:dyDescent="0.25">
      <c r="D23" s="2">
        <v>4</v>
      </c>
      <c r="E23" s="4">
        <f t="shared" si="6"/>
        <v>9240</v>
      </c>
      <c r="F23" s="4">
        <f t="shared" si="4"/>
        <v>8500.8000000000011</v>
      </c>
      <c r="G23" s="4">
        <f t="shared" si="5"/>
        <v>739.19999999999891</v>
      </c>
      <c r="I23" s="3">
        <v>7</v>
      </c>
    </row>
    <row r="24" spans="1:9" x14ac:dyDescent="0.25">
      <c r="A24" t="s">
        <v>24</v>
      </c>
      <c r="B24" s="6">
        <f>B21*0.9</f>
        <v>950.4</v>
      </c>
      <c r="D24" s="2">
        <v>5</v>
      </c>
      <c r="E24" s="4">
        <f t="shared" si="6"/>
        <v>10560</v>
      </c>
      <c r="F24" s="4">
        <f t="shared" si="4"/>
        <v>9715.2000000000007</v>
      </c>
      <c r="G24" s="4">
        <f t="shared" si="5"/>
        <v>844.79999999999927</v>
      </c>
      <c r="I24" s="3">
        <v>8</v>
      </c>
    </row>
    <row r="25" spans="1:9" x14ac:dyDescent="0.25">
      <c r="A25" t="s">
        <v>25</v>
      </c>
      <c r="B25" s="6">
        <f>B21*0.1</f>
        <v>105.60000000000001</v>
      </c>
      <c r="D25" s="2">
        <v>6</v>
      </c>
      <c r="E25" s="4">
        <f t="shared" si="6"/>
        <v>10560</v>
      </c>
      <c r="F25" s="4">
        <f t="shared" si="4"/>
        <v>9715.2000000000007</v>
      </c>
      <c r="G25" s="4">
        <f t="shared" si="5"/>
        <v>844.79999999999927</v>
      </c>
      <c r="I25" s="3">
        <v>8</v>
      </c>
    </row>
    <row r="26" spans="1:9" x14ac:dyDescent="0.25">
      <c r="D26" s="2">
        <v>7</v>
      </c>
      <c r="E26" s="4">
        <f t="shared" si="6"/>
        <v>11880</v>
      </c>
      <c r="F26" s="4">
        <f t="shared" si="4"/>
        <v>10929.6</v>
      </c>
      <c r="G26" s="4">
        <f t="shared" si="5"/>
        <v>950.39999999999964</v>
      </c>
      <c r="I26" s="3">
        <v>9</v>
      </c>
    </row>
    <row r="27" spans="1:9" x14ac:dyDescent="0.25">
      <c r="D27" s="2">
        <v>8</v>
      </c>
      <c r="E27" s="4">
        <f t="shared" si="6"/>
        <v>11880</v>
      </c>
      <c r="F27" s="4">
        <f t="shared" si="4"/>
        <v>10929.6</v>
      </c>
      <c r="G27" s="4">
        <f t="shared" si="5"/>
        <v>950.39999999999964</v>
      </c>
      <c r="I27" s="3">
        <v>9</v>
      </c>
    </row>
    <row r="28" spans="1:9" x14ac:dyDescent="0.25">
      <c r="D28" s="2">
        <v>9</v>
      </c>
      <c r="E28" s="4">
        <f t="shared" si="6"/>
        <v>13200</v>
      </c>
      <c r="F28" s="4">
        <f t="shared" si="4"/>
        <v>12144</v>
      </c>
      <c r="G28" s="4">
        <f t="shared" si="5"/>
        <v>1056</v>
      </c>
      <c r="I28" s="3">
        <v>10</v>
      </c>
    </row>
    <row r="29" spans="1:9" x14ac:dyDescent="0.25">
      <c r="D29" s="2">
        <v>10</v>
      </c>
      <c r="E29" s="4">
        <f t="shared" si="6"/>
        <v>13200</v>
      </c>
      <c r="F29" s="4">
        <f t="shared" si="4"/>
        <v>12144</v>
      </c>
      <c r="G29" s="4">
        <f t="shared" si="5"/>
        <v>1056</v>
      </c>
      <c r="I29" s="3">
        <v>10</v>
      </c>
    </row>
    <row r="30" spans="1:9" x14ac:dyDescent="0.25">
      <c r="D30" s="2">
        <v>11</v>
      </c>
      <c r="E30" s="4">
        <f t="shared" si="6"/>
        <v>14520</v>
      </c>
      <c r="F30" s="4">
        <f t="shared" si="4"/>
        <v>13358.400000000001</v>
      </c>
      <c r="G30" s="4">
        <f t="shared" si="5"/>
        <v>1161.5999999999985</v>
      </c>
      <c r="I30" s="3">
        <v>11</v>
      </c>
    </row>
    <row r="31" spans="1:9" x14ac:dyDescent="0.25">
      <c r="D31" s="2">
        <v>12</v>
      </c>
      <c r="E31" s="4">
        <f t="shared" si="6"/>
        <v>14520</v>
      </c>
      <c r="F31" s="4">
        <f t="shared" si="4"/>
        <v>13358.400000000001</v>
      </c>
      <c r="G31" s="4">
        <f t="shared" si="5"/>
        <v>1161.5999999999985</v>
      </c>
      <c r="I31" s="3">
        <v>11</v>
      </c>
    </row>
    <row r="32" spans="1:9" x14ac:dyDescent="0.25">
      <c r="E32" s="5">
        <f t="shared" ref="E32:G32" si="7">SUM(E20:E31)</f>
        <v>133320</v>
      </c>
      <c r="F32" s="5">
        <f t="shared" si="7"/>
        <v>122654.39999999999</v>
      </c>
      <c r="G32" s="5">
        <f t="shared" si="7"/>
        <v>10665.599999999991</v>
      </c>
    </row>
    <row r="35" spans="1:9" x14ac:dyDescent="0.25">
      <c r="A35" s="12" t="s">
        <v>13</v>
      </c>
      <c r="B35" s="12"/>
      <c r="C35" s="12"/>
      <c r="D35" s="12"/>
      <c r="E35" s="12"/>
      <c r="F35" s="12"/>
      <c r="G35" s="12"/>
      <c r="H35" s="12"/>
      <c r="I35" s="12"/>
    </row>
    <row r="36" spans="1:9" x14ac:dyDescent="0.25">
      <c r="A36" t="s">
        <v>23</v>
      </c>
      <c r="B36" s="1">
        <v>1320</v>
      </c>
      <c r="D36" s="2" t="s">
        <v>2</v>
      </c>
      <c r="E36" s="2" t="s">
        <v>3</v>
      </c>
      <c r="F36" s="2" t="s">
        <v>4</v>
      </c>
      <c r="G36" s="2" t="s">
        <v>5</v>
      </c>
      <c r="I36" s="3" t="s">
        <v>6</v>
      </c>
    </row>
    <row r="37" spans="1:9" x14ac:dyDescent="0.25">
      <c r="A37" t="s">
        <v>21</v>
      </c>
      <c r="B37" s="1">
        <f>B36*0.2</f>
        <v>264</v>
      </c>
      <c r="C37" s="1"/>
      <c r="D37" s="2">
        <v>1</v>
      </c>
      <c r="E37" s="4">
        <f>$B$36*I37</f>
        <v>15840</v>
      </c>
      <c r="F37" s="4">
        <f>($B$37+$B$41)*I37</f>
        <v>14572.800000000001</v>
      </c>
      <c r="G37" s="4">
        <f>E37-F37</f>
        <v>1267.1999999999989</v>
      </c>
      <c r="I37" s="3">
        <v>12</v>
      </c>
    </row>
    <row r="38" spans="1:9" x14ac:dyDescent="0.25">
      <c r="A38" t="s">
        <v>22</v>
      </c>
      <c r="B38" s="6">
        <f>B36-B37</f>
        <v>1056</v>
      </c>
      <c r="C38" s="1"/>
      <c r="D38" s="2">
        <v>2</v>
      </c>
      <c r="E38" s="4">
        <f t="shared" ref="E38:E48" si="8">$B$36*I38</f>
        <v>17160</v>
      </c>
      <c r="F38" s="4">
        <f t="shared" ref="F38:F48" si="9">($B$37+$B$41)*I38</f>
        <v>15787.2</v>
      </c>
      <c r="G38" s="4">
        <f t="shared" ref="G38:G48" si="10">E38-F38</f>
        <v>1372.7999999999993</v>
      </c>
      <c r="I38" s="3">
        <v>13</v>
      </c>
    </row>
    <row r="39" spans="1:9" x14ac:dyDescent="0.25">
      <c r="A39" t="s">
        <v>9</v>
      </c>
      <c r="B39">
        <v>18</v>
      </c>
      <c r="D39" s="2">
        <v>3</v>
      </c>
      <c r="E39" s="4">
        <f t="shared" si="8"/>
        <v>18480</v>
      </c>
      <c r="F39" s="4">
        <f t="shared" si="9"/>
        <v>17001.600000000002</v>
      </c>
      <c r="G39" s="4">
        <f t="shared" si="10"/>
        <v>1478.3999999999978</v>
      </c>
      <c r="I39" s="3">
        <v>14</v>
      </c>
    </row>
    <row r="40" spans="1:9" x14ac:dyDescent="0.25">
      <c r="D40" s="2">
        <v>4</v>
      </c>
      <c r="E40" s="4">
        <f t="shared" si="8"/>
        <v>18480</v>
      </c>
      <c r="F40" s="4">
        <f t="shared" si="9"/>
        <v>17001.600000000002</v>
      </c>
      <c r="G40" s="4">
        <f t="shared" si="10"/>
        <v>1478.3999999999978</v>
      </c>
      <c r="I40" s="3">
        <v>14</v>
      </c>
    </row>
    <row r="41" spans="1:9" x14ac:dyDescent="0.25">
      <c r="A41" t="s">
        <v>24</v>
      </c>
      <c r="B41" s="6">
        <f>B38*0.9</f>
        <v>950.4</v>
      </c>
      <c r="D41" s="2">
        <v>5</v>
      </c>
      <c r="E41" s="4">
        <f t="shared" si="8"/>
        <v>19800</v>
      </c>
      <c r="F41" s="4">
        <f t="shared" si="9"/>
        <v>18216</v>
      </c>
      <c r="G41" s="4">
        <f t="shared" si="10"/>
        <v>1584</v>
      </c>
      <c r="I41" s="3">
        <v>15</v>
      </c>
    </row>
    <row r="42" spans="1:9" x14ac:dyDescent="0.25">
      <c r="A42" t="s">
        <v>25</v>
      </c>
      <c r="B42" s="6">
        <f>B38*0.1</f>
        <v>105.60000000000001</v>
      </c>
      <c r="D42" s="2">
        <v>6</v>
      </c>
      <c r="E42" s="4">
        <f t="shared" si="8"/>
        <v>19800</v>
      </c>
      <c r="F42" s="4">
        <f t="shared" si="9"/>
        <v>18216</v>
      </c>
      <c r="G42" s="4">
        <f t="shared" si="10"/>
        <v>1584</v>
      </c>
      <c r="I42" s="3">
        <v>15</v>
      </c>
    </row>
    <row r="43" spans="1:9" x14ac:dyDescent="0.25">
      <c r="D43" s="2">
        <v>7</v>
      </c>
      <c r="E43" s="4">
        <f t="shared" si="8"/>
        <v>21120</v>
      </c>
      <c r="F43" s="4">
        <f t="shared" si="9"/>
        <v>19430.400000000001</v>
      </c>
      <c r="G43" s="4">
        <f t="shared" si="10"/>
        <v>1689.5999999999985</v>
      </c>
      <c r="I43" s="3">
        <v>16</v>
      </c>
    </row>
    <row r="44" spans="1:9" x14ac:dyDescent="0.25">
      <c r="D44" s="2">
        <v>8</v>
      </c>
      <c r="E44" s="4">
        <f t="shared" si="8"/>
        <v>21120</v>
      </c>
      <c r="F44" s="4">
        <f t="shared" si="9"/>
        <v>19430.400000000001</v>
      </c>
      <c r="G44" s="4">
        <f t="shared" si="10"/>
        <v>1689.5999999999985</v>
      </c>
      <c r="I44" s="3">
        <v>16</v>
      </c>
    </row>
    <row r="45" spans="1:9" x14ac:dyDescent="0.25">
      <c r="D45" s="2">
        <v>9</v>
      </c>
      <c r="E45" s="4">
        <f t="shared" si="8"/>
        <v>22440</v>
      </c>
      <c r="F45" s="4">
        <f t="shared" si="9"/>
        <v>20644.800000000003</v>
      </c>
      <c r="G45" s="4">
        <f t="shared" si="10"/>
        <v>1795.1999999999971</v>
      </c>
      <c r="I45" s="3">
        <v>17</v>
      </c>
    </row>
    <row r="46" spans="1:9" x14ac:dyDescent="0.25">
      <c r="D46" s="2">
        <v>10</v>
      </c>
      <c r="E46" s="4">
        <f t="shared" si="8"/>
        <v>22440</v>
      </c>
      <c r="F46" s="4">
        <f t="shared" si="9"/>
        <v>20644.800000000003</v>
      </c>
      <c r="G46" s="4">
        <f t="shared" si="10"/>
        <v>1795.1999999999971</v>
      </c>
      <c r="I46" s="3">
        <v>17</v>
      </c>
    </row>
    <row r="47" spans="1:9" x14ac:dyDescent="0.25">
      <c r="D47" s="2">
        <v>11</v>
      </c>
      <c r="E47" s="4">
        <f t="shared" si="8"/>
        <v>23760</v>
      </c>
      <c r="F47" s="4">
        <f t="shared" si="9"/>
        <v>21859.200000000001</v>
      </c>
      <c r="G47" s="4">
        <f t="shared" si="10"/>
        <v>1900.7999999999993</v>
      </c>
      <c r="I47" s="3">
        <v>18</v>
      </c>
    </row>
    <row r="48" spans="1:9" x14ac:dyDescent="0.25">
      <c r="D48" s="2">
        <v>12</v>
      </c>
      <c r="E48" s="4">
        <f t="shared" si="8"/>
        <v>23760</v>
      </c>
      <c r="F48" s="4">
        <f t="shared" si="9"/>
        <v>21859.200000000001</v>
      </c>
      <c r="G48" s="4">
        <f t="shared" si="10"/>
        <v>1900.7999999999993</v>
      </c>
      <c r="I48" s="3">
        <v>18</v>
      </c>
    </row>
    <row r="49" spans="4:7" x14ac:dyDescent="0.25">
      <c r="E49" s="5">
        <f t="shared" ref="E49:G49" si="11">SUM(E37:E48)</f>
        <v>244200</v>
      </c>
      <c r="F49" s="5">
        <f t="shared" si="11"/>
        <v>224664</v>
      </c>
      <c r="G49" s="5">
        <f t="shared" si="11"/>
        <v>19535.999999999982</v>
      </c>
    </row>
    <row r="52" spans="4:7" x14ac:dyDescent="0.25">
      <c r="D52" s="2" t="s">
        <v>31</v>
      </c>
      <c r="E52" s="2" t="s">
        <v>3</v>
      </c>
      <c r="F52" s="2" t="s">
        <v>4</v>
      </c>
      <c r="G52" s="2" t="s">
        <v>5</v>
      </c>
    </row>
    <row r="53" spans="4:7" x14ac:dyDescent="0.25">
      <c r="D53" s="2">
        <v>1</v>
      </c>
      <c r="E53" s="4">
        <f>E15</f>
        <v>39600</v>
      </c>
      <c r="F53" s="4">
        <f t="shared" ref="F53:G53" si="12">F15</f>
        <v>36432</v>
      </c>
      <c r="G53" s="4">
        <f t="shared" si="12"/>
        <v>3167.9999999999982</v>
      </c>
    </row>
    <row r="54" spans="4:7" x14ac:dyDescent="0.25">
      <c r="D54" s="2">
        <v>2</v>
      </c>
      <c r="E54" s="4">
        <f>E32</f>
        <v>133320</v>
      </c>
      <c r="F54" s="4">
        <f t="shared" ref="F54:G54" si="13">F32</f>
        <v>122654.39999999999</v>
      </c>
      <c r="G54" s="4">
        <f t="shared" si="13"/>
        <v>10665.599999999991</v>
      </c>
    </row>
    <row r="55" spans="4:7" x14ac:dyDescent="0.25">
      <c r="D55" s="2">
        <v>3</v>
      </c>
      <c r="E55" s="4">
        <f>E49</f>
        <v>244200</v>
      </c>
      <c r="F55" s="4">
        <f t="shared" ref="F55:G55" si="14">F49</f>
        <v>224664</v>
      </c>
      <c r="G55" s="4">
        <f t="shared" si="14"/>
        <v>19535.999999999982</v>
      </c>
    </row>
    <row r="56" spans="4:7" x14ac:dyDescent="0.25">
      <c r="E56" s="9">
        <f>SUM(E53:E55)</f>
        <v>417120</v>
      </c>
      <c r="F56" s="9">
        <f t="shared" ref="F56:G56" si="15">SUM(F53:F55)</f>
        <v>383750.40000000002</v>
      </c>
      <c r="G56" s="9">
        <f t="shared" si="15"/>
        <v>33369.599999999969</v>
      </c>
    </row>
  </sheetData>
  <mergeCells count="3">
    <mergeCell ref="A1:I1"/>
    <mergeCell ref="A18:I18"/>
    <mergeCell ref="A35:I35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F3400-90DE-4603-B3CF-53FB3AC504D0}">
  <dimension ref="A1:F32"/>
  <sheetViews>
    <sheetView workbookViewId="0"/>
  </sheetViews>
  <sheetFormatPr defaultRowHeight="15" x14ac:dyDescent="0.25"/>
  <cols>
    <col min="1" max="1" width="18.140625" bestFit="1" customWidth="1"/>
    <col min="2" max="2" width="14.7109375" bestFit="1" customWidth="1"/>
    <col min="3" max="3" width="15.85546875" bestFit="1" customWidth="1"/>
    <col min="4" max="4" width="15.85546875" customWidth="1"/>
    <col min="5" max="6" width="14.85546875" bestFit="1" customWidth="1"/>
  </cols>
  <sheetData>
    <row r="1" spans="1:5" x14ac:dyDescent="0.25">
      <c r="B1" s="12" t="s">
        <v>0</v>
      </c>
      <c r="C1" s="12"/>
      <c r="D1" s="12"/>
      <c r="E1" s="12"/>
    </row>
    <row r="2" spans="1:5" x14ac:dyDescent="0.25">
      <c r="A2" t="s">
        <v>26</v>
      </c>
      <c r="B2" s="2" t="s">
        <v>3</v>
      </c>
      <c r="C2" s="2" t="s">
        <v>4</v>
      </c>
      <c r="D2" s="2" t="s">
        <v>33</v>
      </c>
      <c r="E2" s="2" t="s">
        <v>5</v>
      </c>
    </row>
    <row r="3" spans="1:5" x14ac:dyDescent="0.25">
      <c r="A3" t="s">
        <v>27</v>
      </c>
      <c r="B3" s="7">
        <f>EXAMES!E15</f>
        <v>49700</v>
      </c>
      <c r="C3" s="7">
        <f>EXAMES!F15</f>
        <v>37490</v>
      </c>
      <c r="D3" s="7">
        <f>EXAMES!G15</f>
        <v>4970</v>
      </c>
      <c r="E3" s="7">
        <f>EXAMES!H15</f>
        <v>7239.9999999999991</v>
      </c>
    </row>
    <row r="4" spans="1:5" x14ac:dyDescent="0.25">
      <c r="A4" t="s">
        <v>32</v>
      </c>
      <c r="B4" s="7">
        <f>PLATAFORMAS!E15</f>
        <v>2970</v>
      </c>
      <c r="C4" s="7">
        <f>PLATAFORMAS!F15</f>
        <v>2697</v>
      </c>
      <c r="D4" s="7">
        <v>0</v>
      </c>
      <c r="E4" s="7">
        <f>PLATAFORMAS!G15</f>
        <v>272.99999999999983</v>
      </c>
    </row>
    <row r="5" spans="1:5" x14ac:dyDescent="0.25">
      <c r="A5" t="s">
        <v>28</v>
      </c>
      <c r="B5" s="4">
        <f>CORRETAGEM!E15</f>
        <v>9720</v>
      </c>
      <c r="C5" s="4">
        <f>CORRETAGEM!F15</f>
        <v>8100</v>
      </c>
      <c r="D5" s="4">
        <v>0</v>
      </c>
      <c r="E5" s="4">
        <f>CORRETAGEM!G15</f>
        <v>1620</v>
      </c>
    </row>
    <row r="6" spans="1:5" x14ac:dyDescent="0.25">
      <c r="A6" t="s">
        <v>29</v>
      </c>
      <c r="B6" s="4">
        <f>'TRADERS FOCO'!E15</f>
        <v>39600</v>
      </c>
      <c r="C6" s="4">
        <f>'TRADERS FOCO'!F15</f>
        <v>36432</v>
      </c>
      <c r="D6" s="4">
        <v>0</v>
      </c>
      <c r="E6" s="4">
        <f>'TRADERS FOCO'!G15</f>
        <v>3167.9999999999982</v>
      </c>
    </row>
    <row r="7" spans="1:5" x14ac:dyDescent="0.25">
      <c r="B7" s="5">
        <f>SUM(B3:B6)</f>
        <v>101990</v>
      </c>
      <c r="C7" s="5">
        <f>SUM(C3:C6)</f>
        <v>84719</v>
      </c>
      <c r="D7" s="5">
        <f>SUM(D3:D6)</f>
        <v>4970</v>
      </c>
      <c r="E7" s="5">
        <f>SUM(E3:E6)</f>
        <v>12300.999999999998</v>
      </c>
    </row>
    <row r="8" spans="1:5" x14ac:dyDescent="0.25">
      <c r="B8" s="1"/>
      <c r="C8" s="1"/>
      <c r="D8" s="1"/>
      <c r="E8" s="1"/>
    </row>
    <row r="9" spans="1:5" x14ac:dyDescent="0.25">
      <c r="B9" s="1"/>
      <c r="C9" s="1"/>
      <c r="D9" s="1"/>
      <c r="E9" s="1"/>
    </row>
    <row r="10" spans="1:5" x14ac:dyDescent="0.25">
      <c r="B10" s="12" t="s">
        <v>12</v>
      </c>
      <c r="C10" s="12"/>
      <c r="D10" s="12"/>
      <c r="E10" s="12"/>
    </row>
    <row r="11" spans="1:5" x14ac:dyDescent="0.25">
      <c r="A11" t="s">
        <v>26</v>
      </c>
      <c r="B11" s="2" t="s">
        <v>3</v>
      </c>
      <c r="C11" s="2" t="s">
        <v>4</v>
      </c>
      <c r="D11" s="2" t="s">
        <v>33</v>
      </c>
      <c r="E11" s="2" t="s">
        <v>5</v>
      </c>
    </row>
    <row r="12" spans="1:5" x14ac:dyDescent="0.25">
      <c r="A12" t="s">
        <v>27</v>
      </c>
      <c r="B12" s="7">
        <f>EXAMES!E32</f>
        <v>59640</v>
      </c>
      <c r="C12" s="7">
        <f>EXAMES!F32</f>
        <v>44988</v>
      </c>
      <c r="D12" s="7">
        <f>EXAMES!G32</f>
        <v>5964</v>
      </c>
      <c r="E12" s="7">
        <f>EXAMES!H32</f>
        <v>8688</v>
      </c>
    </row>
    <row r="13" spans="1:5" x14ac:dyDescent="0.25">
      <c r="A13" t="s">
        <v>32</v>
      </c>
      <c r="B13" s="7">
        <f>PLATAFORMAS!E32</f>
        <v>9999</v>
      </c>
      <c r="C13" s="7">
        <f>PLATAFORMAS!F32</f>
        <v>9079.9000000000015</v>
      </c>
      <c r="D13" s="7">
        <v>0</v>
      </c>
      <c r="E13" s="7">
        <f>PLATAFORMAS!G32</f>
        <v>919.09999999999945</v>
      </c>
    </row>
    <row r="14" spans="1:5" x14ac:dyDescent="0.25">
      <c r="A14" t="s">
        <v>28</v>
      </c>
      <c r="B14" s="4">
        <f>CORRETAGEM!E32</f>
        <v>32724</v>
      </c>
      <c r="C14" s="4">
        <f>CORRETAGEM!F32</f>
        <v>27270</v>
      </c>
      <c r="D14" s="4">
        <v>0</v>
      </c>
      <c r="E14" s="4">
        <f>CORRETAGEM!G32</f>
        <v>5454</v>
      </c>
    </row>
    <row r="15" spans="1:5" x14ac:dyDescent="0.25">
      <c r="A15" t="s">
        <v>29</v>
      </c>
      <c r="B15" s="4">
        <f>'TRADERS FOCO'!E32</f>
        <v>133320</v>
      </c>
      <c r="C15" s="4">
        <f>'TRADERS FOCO'!F32</f>
        <v>122654.39999999999</v>
      </c>
      <c r="D15" s="4">
        <v>0</v>
      </c>
      <c r="E15" s="4">
        <f>'TRADERS FOCO'!G32</f>
        <v>10665.599999999991</v>
      </c>
    </row>
    <row r="16" spans="1:5" x14ac:dyDescent="0.25">
      <c r="B16" s="5">
        <f>SUM(B12:B15)</f>
        <v>235683</v>
      </c>
      <c r="C16" s="5">
        <f t="shared" ref="C16:E16" si="0">SUM(C12:C15)</f>
        <v>203992.3</v>
      </c>
      <c r="D16" s="5">
        <f t="shared" si="0"/>
        <v>5964</v>
      </c>
      <c r="E16" s="5">
        <f t="shared" si="0"/>
        <v>25726.69999999999</v>
      </c>
    </row>
    <row r="17" spans="1:6" x14ac:dyDescent="0.25">
      <c r="B17" s="1"/>
      <c r="C17" s="1"/>
      <c r="D17" s="1"/>
      <c r="E17" s="1"/>
    </row>
    <row r="19" spans="1:6" x14ac:dyDescent="0.25">
      <c r="B19" s="12" t="s">
        <v>13</v>
      </c>
      <c r="C19" s="12"/>
      <c r="D19" s="12"/>
      <c r="E19" s="12"/>
    </row>
    <row r="20" spans="1:6" x14ac:dyDescent="0.25">
      <c r="A20" t="s">
        <v>26</v>
      </c>
      <c r="B20" s="2" t="s">
        <v>3</v>
      </c>
      <c r="C20" s="2" t="s">
        <v>4</v>
      </c>
      <c r="D20" s="2" t="s">
        <v>33</v>
      </c>
      <c r="E20" s="2" t="s">
        <v>5</v>
      </c>
    </row>
    <row r="21" spans="1:6" x14ac:dyDescent="0.25">
      <c r="A21" t="s">
        <v>27</v>
      </c>
      <c r="B21" s="7">
        <f>EXAMES!E49</f>
        <v>71568</v>
      </c>
      <c r="C21" s="7">
        <f>EXAMES!F49</f>
        <v>52845.599999999999</v>
      </c>
      <c r="D21" s="7">
        <f>EXAMES!G49</f>
        <v>7156.7999999999993</v>
      </c>
      <c r="E21" s="7">
        <f>EXAMES!H49</f>
        <v>11565.599999999999</v>
      </c>
    </row>
    <row r="22" spans="1:6" x14ac:dyDescent="0.25">
      <c r="A22" t="s">
        <v>32</v>
      </c>
      <c r="B22" s="7">
        <f>PLATAFORMAS!E49</f>
        <v>18315</v>
      </c>
      <c r="C22" s="7">
        <f>PLATAFORMAS!F49</f>
        <v>16631.5</v>
      </c>
      <c r="D22" s="7">
        <v>0</v>
      </c>
      <c r="E22" s="7">
        <f>PLATAFORMAS!G49</f>
        <v>1683.4999999999989</v>
      </c>
    </row>
    <row r="23" spans="1:6" x14ac:dyDescent="0.25">
      <c r="A23" t="s">
        <v>28</v>
      </c>
      <c r="B23" s="4">
        <f>CORRETAGEM!E49</f>
        <v>59940</v>
      </c>
      <c r="C23" s="4">
        <f>CORRETAGEM!F49</f>
        <v>49950</v>
      </c>
      <c r="D23" s="4">
        <v>0</v>
      </c>
      <c r="E23" s="4">
        <f>CORRETAGEM!G49</f>
        <v>9990</v>
      </c>
    </row>
    <row r="24" spans="1:6" x14ac:dyDescent="0.25">
      <c r="A24" t="s">
        <v>29</v>
      </c>
      <c r="B24" s="4">
        <f>'TRADERS FOCO'!E49</f>
        <v>244200</v>
      </c>
      <c r="C24" s="4">
        <f>'TRADERS FOCO'!F49</f>
        <v>224664</v>
      </c>
      <c r="D24" s="4">
        <v>0</v>
      </c>
      <c r="E24" s="4">
        <f>'TRADERS FOCO'!G49</f>
        <v>19535.999999999982</v>
      </c>
    </row>
    <row r="25" spans="1:6" x14ac:dyDescent="0.25">
      <c r="B25" s="5">
        <f>SUM(B21:B24)</f>
        <v>394023</v>
      </c>
      <c r="C25" s="5">
        <f t="shared" ref="C25:E25" si="1">SUM(C21:C24)</f>
        <v>344091.1</v>
      </c>
      <c r="D25" s="5">
        <f t="shared" si="1"/>
        <v>7156.7999999999993</v>
      </c>
      <c r="E25" s="5">
        <f t="shared" si="1"/>
        <v>42775.099999999977</v>
      </c>
    </row>
    <row r="28" spans="1:6" x14ac:dyDescent="0.25">
      <c r="B28" s="2" t="s">
        <v>31</v>
      </c>
      <c r="C28" s="2" t="s">
        <v>3</v>
      </c>
      <c r="D28" s="2" t="s">
        <v>4</v>
      </c>
      <c r="E28" s="2" t="s">
        <v>33</v>
      </c>
      <c r="F28" s="2" t="s">
        <v>5</v>
      </c>
    </row>
    <row r="29" spans="1:6" x14ac:dyDescent="0.25">
      <c r="B29" s="2">
        <v>1</v>
      </c>
      <c r="C29" s="4">
        <f>B7</f>
        <v>101990</v>
      </c>
      <c r="D29" s="4">
        <f t="shared" ref="D29:F29" si="2">C7</f>
        <v>84719</v>
      </c>
      <c r="E29" s="4">
        <f t="shared" si="2"/>
        <v>4970</v>
      </c>
      <c r="F29" s="4">
        <f t="shared" si="2"/>
        <v>12300.999999999998</v>
      </c>
    </row>
    <row r="30" spans="1:6" x14ac:dyDescent="0.25">
      <c r="B30" s="2">
        <v>2</v>
      </c>
      <c r="C30" s="4">
        <f>B16</f>
        <v>235683</v>
      </c>
      <c r="D30" s="4">
        <f t="shared" ref="D30:F30" si="3">C16</f>
        <v>203992.3</v>
      </c>
      <c r="E30" s="4">
        <f t="shared" si="3"/>
        <v>5964</v>
      </c>
      <c r="F30" s="4">
        <f t="shared" si="3"/>
        <v>25726.69999999999</v>
      </c>
    </row>
    <row r="31" spans="1:6" x14ac:dyDescent="0.25">
      <c r="B31" s="2">
        <v>3</v>
      </c>
      <c r="C31" s="4">
        <f>B25</f>
        <v>394023</v>
      </c>
      <c r="D31" s="4">
        <f t="shared" ref="D31:F31" si="4">C25</f>
        <v>344091.1</v>
      </c>
      <c r="E31" s="4">
        <f t="shared" si="4"/>
        <v>7156.7999999999993</v>
      </c>
      <c r="F31" s="4">
        <f t="shared" si="4"/>
        <v>42775.099999999977</v>
      </c>
    </row>
    <row r="32" spans="1:6" x14ac:dyDescent="0.25">
      <c r="C32" s="9">
        <f>SUM(C29:C31)</f>
        <v>731696</v>
      </c>
      <c r="D32" s="9">
        <f t="shared" ref="D32:F32" si="5">SUM(D29:D31)</f>
        <v>632802.39999999991</v>
      </c>
      <c r="E32" s="9">
        <f t="shared" si="5"/>
        <v>18090.8</v>
      </c>
      <c r="F32" s="9">
        <f t="shared" si="5"/>
        <v>80802.799999999959</v>
      </c>
    </row>
  </sheetData>
  <mergeCells count="3">
    <mergeCell ref="B1:E1"/>
    <mergeCell ref="B10:E10"/>
    <mergeCell ref="B19:E1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EXAMES</vt:lpstr>
      <vt:lpstr>PLATAFORMAS</vt:lpstr>
      <vt:lpstr>CORRETAGEM</vt:lpstr>
      <vt:lpstr>TRADERS FOCO</vt:lpstr>
      <vt:lpstr>PROJEÇÕES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Brasileiro</dc:creator>
  <cp:lastModifiedBy>Vitor Brasileiro</cp:lastModifiedBy>
  <dcterms:created xsi:type="dcterms:W3CDTF">2023-05-18T19:20:52Z</dcterms:created>
  <dcterms:modified xsi:type="dcterms:W3CDTF">2023-12-27T12:26:04Z</dcterms:modified>
</cp:coreProperties>
</file>